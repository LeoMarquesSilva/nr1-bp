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plaw2.sharepoint.com/sites/equipetrabalhista/Documentos Compartilhados/10. INFORMATIVOS_REDES SOCIAIS/E-BOOK/2026/NR-1/ESTRUTURAÇÃO/"/>
    </mc:Choice>
  </mc:AlternateContent>
  <xr:revisionPtr revIDLastSave="305" documentId="13_ncr:1_{BA1B1950-7F1B-4FEA-A43C-9127CA3C6943}" xr6:coauthVersionLast="47" xr6:coauthVersionMax="47" xr10:uidLastSave="{09E47386-D27C-4FA0-AB11-A2D9F205F6A7}"/>
  <bookViews>
    <workbookView xWindow="-108" yWindow="-108" windowWidth="23256" windowHeight="12456" tabRatio="438" firstSheet="2" activeTab="5" xr2:uid="{3F713D61-0F9D-460F-8266-E94F41F54783}"/>
  </bookViews>
  <sheets>
    <sheet name="HSE-IT" sheetId="20" r:id="rId1"/>
    <sheet name="Perguntas" sheetId="23" r:id="rId2"/>
    <sheet name="Simulação" sheetId="25" r:id="rId3"/>
    <sheet name="Critério de pontuação" sheetId="26" r:id="rId4"/>
    <sheet name="Descrição" sheetId="27" r:id="rId5"/>
    <sheet name="Planos de ação" sheetId="28" r:id="rId6"/>
  </sheets>
  <definedNames>
    <definedName name="_10thCol">#REF!</definedName>
    <definedName name="_2ndCol">#REF!</definedName>
    <definedName name="_3rdCol">#REF!</definedName>
    <definedName name="_4thCol">#REF!</definedName>
    <definedName name="_5thCol">#REF!</definedName>
    <definedName name="_6thCol">#REF!</definedName>
    <definedName name="_7thCol">#REF!</definedName>
    <definedName name="_8thCol">#REF!</definedName>
    <definedName name="_9thCol">#REF!</definedName>
    <definedName name="_xlnm._FilterDatabase" localSheetId="0" hidden="1">'HSE-IT'!$A$4:$H$39</definedName>
    <definedName name="_RWL2">#REF!</definedName>
    <definedName name="a">#REF!</definedName>
    <definedName name="aaaa">#REF!</definedName>
    <definedName name="abrangencia">#REF!</definedName>
    <definedName name="AM">#REF!</definedName>
    <definedName name="AM.1">#REF!</definedName>
    <definedName name="AM.10">#REF!</definedName>
    <definedName name="AM.2">#REF!</definedName>
    <definedName name="AM.3">#REF!</definedName>
    <definedName name="AM.4">#REF!</definedName>
    <definedName name="AM.5">#REF!</definedName>
    <definedName name="AM.6">#REF!</definedName>
    <definedName name="AM.7">#REF!</definedName>
    <definedName name="AM.8">#REF!</definedName>
    <definedName name="AM.9">#REF!</definedName>
    <definedName name="Angle">#REF!</definedName>
    <definedName name="Angle1">#REF!</definedName>
    <definedName name="Angle10">#REF!</definedName>
    <definedName name="Angle2">#REF!</definedName>
    <definedName name="Angle3">#REF!</definedName>
    <definedName name="Angle4">#REF!</definedName>
    <definedName name="Angle5">#REF!</definedName>
    <definedName name="Angle6">#REF!</definedName>
    <definedName name="Angle7">#REF!</definedName>
    <definedName name="Angle8">#REF!</definedName>
    <definedName name="Angle9">#REF!</definedName>
    <definedName name="_xlnm.Print_Area" localSheetId="0">'HSE-IT'!$A$1:$S$60</definedName>
    <definedName name="biblio">#REF!</definedName>
    <definedName name="bigtable">#REF!</definedName>
    <definedName name="cad_0">#REF!</definedName>
    <definedName name="cad_00" localSheetId="4">L10C7</definedName>
    <definedName name="cad_00" localSheetId="0">L10C7</definedName>
    <definedName name="cad_00">L10C7</definedName>
    <definedName name="cad_1">#REF!</definedName>
    <definedName name="cad_10">#REF!</definedName>
    <definedName name="cad_11">#REF!</definedName>
    <definedName name="cad_12">#REF!</definedName>
    <definedName name="cad_13">#REF!</definedName>
    <definedName name="cad_14">#REF!</definedName>
    <definedName name="cad_15">#REF!</definedName>
    <definedName name="cad_16">#REF!</definedName>
    <definedName name="cad_17">#REF!</definedName>
    <definedName name="cad_18">#REF!</definedName>
    <definedName name="cad_19">#REF!</definedName>
    <definedName name="cad_2">#REF!</definedName>
    <definedName name="cad_20">#REF!</definedName>
    <definedName name="cad_21">#REF!</definedName>
    <definedName name="cad_22">#REF!</definedName>
    <definedName name="cad_23">#REF!</definedName>
    <definedName name="cad_3">#REF!</definedName>
    <definedName name="cad_4">#REF!</definedName>
    <definedName name="cad_5">#REF!</definedName>
    <definedName name="cad_6">#REF!</definedName>
    <definedName name="cad_7">#REF!</definedName>
    <definedName name="cad_8">#REF!</definedName>
    <definedName name="cad_9">#REF!</definedName>
    <definedName name="cc">#REF!</definedName>
    <definedName name="CLI">#REF!</definedName>
    <definedName name="CM">#REF!</definedName>
    <definedName name="CM.1">#REF!</definedName>
    <definedName name="CM.10">#REF!</definedName>
    <definedName name="CM.2">#REF!</definedName>
    <definedName name="CM.3">#REF!</definedName>
    <definedName name="CM.4">#REF!</definedName>
    <definedName name="CM.5">#REF!</definedName>
    <definedName name="CM.6">#REF!</definedName>
    <definedName name="CM.7">#REF!</definedName>
    <definedName name="CM.8">#REF!</definedName>
    <definedName name="CM.9">#REF!</definedName>
    <definedName name="COGNITIVO">#REF!</definedName>
    <definedName name="Cognitivos1">#N/A</definedName>
    <definedName name="Cognitivos2">#N/A</definedName>
    <definedName name="Concepção1">#N/A</definedName>
    <definedName name="Concepção2">#N/A</definedName>
    <definedName name="conclusao">#REF!</definedName>
    <definedName name="CONDIÇÃO">#REF!</definedName>
    <definedName name="Coupling">#REF!</definedName>
    <definedName name="Coupling1">#REF!</definedName>
    <definedName name="Coupling10">#REF!</definedName>
    <definedName name="Coupling2">#REF!</definedName>
    <definedName name="Coupling3">#REF!</definedName>
    <definedName name="Coupling4">#REF!</definedName>
    <definedName name="Coupling5">#REF!</definedName>
    <definedName name="Coupling6">#REF!</definedName>
    <definedName name="Coupling7">#REF!</definedName>
    <definedName name="Coupling8">#REF!</definedName>
    <definedName name="Coupling9">#REF!</definedName>
    <definedName name="couto">#REF!</definedName>
    <definedName name="demanda">#REF!</definedName>
    <definedName name="DEMANDAS">#REF!</definedName>
    <definedName name="Deslocamento1">#N/A</definedName>
    <definedName name="Deslocamento2">#N/A</definedName>
    <definedName name="DM">#REF!</definedName>
    <definedName name="DM.1">#REF!</definedName>
    <definedName name="DM.10">#REF!</definedName>
    <definedName name="DM.2">#REF!</definedName>
    <definedName name="DM.3">#REF!</definedName>
    <definedName name="DM.4">#REF!</definedName>
    <definedName name="DM.5">#REF!</definedName>
    <definedName name="DM.6">#REF!</definedName>
    <definedName name="DM.7">#REF!</definedName>
    <definedName name="DM.8">#REF!</definedName>
    <definedName name="DM.9">#REF!</definedName>
    <definedName name="Duration">#REF!</definedName>
    <definedName name="Duration1">#REF!</definedName>
    <definedName name="Duration10">#REF!</definedName>
    <definedName name="Duration2">#REF!</definedName>
    <definedName name="Duration3">#REF!</definedName>
    <definedName name="Duration4">#REF!</definedName>
    <definedName name="Duration5">#REF!</definedName>
    <definedName name="Duration6">#REF!</definedName>
    <definedName name="Duration7">#REF!</definedName>
    <definedName name="Duration8">#REF!</definedName>
    <definedName name="Duration9">#REF!</definedName>
    <definedName name="etapa">#REF!</definedName>
    <definedName name="fechamento">#REF!</definedName>
    <definedName name="Ferramentas1">#N/A</definedName>
    <definedName name="Ferramentas2">#N/A</definedName>
    <definedName name="FERRAMENTASMMSS">#REF!</definedName>
    <definedName name="FERRAMENTASPERNAS">#REF!</definedName>
    <definedName name="FFFF">#REF!</definedName>
    <definedName name="FIRWL1">#REF!</definedName>
    <definedName name="FIRWL10">#REF!</definedName>
    <definedName name="FIRWL2">#REF!</definedName>
    <definedName name="FIRWL3">#REF!</definedName>
    <definedName name="FIRWL4">#REF!</definedName>
    <definedName name="FIRWL5">#REF!</definedName>
    <definedName name="FIRWL6">#REF!</definedName>
    <definedName name="FIRWL7">#REF!</definedName>
    <definedName name="FIRWL8">#REF!</definedName>
    <definedName name="FIRWL9">#REF!</definedName>
    <definedName name="FM">#REF!</definedName>
    <definedName name="FM.1">#REF!</definedName>
    <definedName name="FM.10">#REF!</definedName>
    <definedName name="FM.2">#REF!</definedName>
    <definedName name="FM.3">#REF!</definedName>
    <definedName name="FM.4">#REF!</definedName>
    <definedName name="FM.5">#REF!</definedName>
    <definedName name="FM.6">#REF!</definedName>
    <definedName name="FM.7">#REF!</definedName>
    <definedName name="FM.8">#REF!</definedName>
    <definedName name="FM.9">#REF!</definedName>
    <definedName name="Força1">#N/A</definedName>
    <definedName name="Força2">#N/A</definedName>
    <definedName name="FREQUENCY">#REF!</definedName>
    <definedName name="Frequency1">#REF!</definedName>
    <definedName name="Frequency10">#REF!</definedName>
    <definedName name="Frequency2">#REF!</definedName>
    <definedName name="Frequency3">#REF!</definedName>
    <definedName name="Frequency4">#REF!</definedName>
    <definedName name="Frequency5">#REF!</definedName>
    <definedName name="Frequency6">#REF!</definedName>
    <definedName name="Frequency7">#REF!</definedName>
    <definedName name="Frequency8">#REF!</definedName>
    <definedName name="Frequency9">#REF!</definedName>
    <definedName name="GINÁSTICA">#REF!</definedName>
    <definedName name="grupo">#REF!</definedName>
    <definedName name="Higiene1">#N/A</definedName>
    <definedName name="Higiene2">#N/A</definedName>
    <definedName name="HM">#REF!</definedName>
    <definedName name="HM.1">#REF!</definedName>
    <definedName name="HM.10">#REF!</definedName>
    <definedName name="HM.2">#REF!</definedName>
    <definedName name="HM.3">#REF!</definedName>
    <definedName name="HM.4">#REF!</definedName>
    <definedName name="HM.5">#REF!</definedName>
    <definedName name="HM.6">#REF!</definedName>
    <definedName name="HM.7">#REF!</definedName>
    <definedName name="HM.8">#REF!</definedName>
    <definedName name="HM.9">#REF!</definedName>
    <definedName name="HorizLoc">#REF!</definedName>
    <definedName name="HorizLoc1">#REF!</definedName>
    <definedName name="HorizLoc10">#REF!</definedName>
    <definedName name="HorizLoc2">#REF!</definedName>
    <definedName name="HorizLoc3">#REF!</definedName>
    <definedName name="HorizLoc4">#REF!</definedName>
    <definedName name="HorizLoc5">#REF!</definedName>
    <definedName name="HorizLoc6">#REF!</definedName>
    <definedName name="HorizLoc7">#REF!</definedName>
    <definedName name="HorizLoc8">#REF!</definedName>
    <definedName name="HorizLoc9">#REF!</definedName>
    <definedName name="HSE">#REF!</definedName>
    <definedName name="Iluminação1">#N/A</definedName>
    <definedName name="Iluminação2">#N/A</definedName>
    <definedName name="intro">#REF!</definedName>
    <definedName name="Load">#REF!</definedName>
    <definedName name="Load1">#REF!</definedName>
    <definedName name="Load10">#REF!</definedName>
    <definedName name="Load2">#REF!</definedName>
    <definedName name="Load3">#REF!</definedName>
    <definedName name="Load4">#REF!</definedName>
    <definedName name="Load5">#REF!</definedName>
    <definedName name="Load6">#REF!</definedName>
    <definedName name="Load7">#REF!</definedName>
    <definedName name="Load8">#REF!</definedName>
    <definedName name="Load9">#REF!</definedName>
    <definedName name="Manuseio_de_Cargas1">#N/A</definedName>
    <definedName name="Manuseio_de_Cargas2">#N/A</definedName>
    <definedName name="Max10Array">#REF!</definedName>
    <definedName name="Max2array">#REF!</definedName>
    <definedName name="Max3array">#REF!</definedName>
    <definedName name="Max4array">#REF!</definedName>
    <definedName name="Max5array">#REF!</definedName>
    <definedName name="Max6array">#REF!</definedName>
    <definedName name="Max7Array">#REF!</definedName>
    <definedName name="Max8Array">#REF!</definedName>
    <definedName name="Max9Array">#REF!</definedName>
    <definedName name="MaxCol">#REF!</definedName>
    <definedName name="MaxLoad">#REF!</definedName>
    <definedName name="maxload1">#REF!</definedName>
    <definedName name="maxload10">#REF!</definedName>
    <definedName name="maxload2">#REF!</definedName>
    <definedName name="maxload3">#REF!</definedName>
    <definedName name="maxload4">#REF!</definedName>
    <definedName name="maxload5">#REF!</definedName>
    <definedName name="maxload6">#REF!</definedName>
    <definedName name="maxload7">#REF!</definedName>
    <definedName name="maxload8">#REF!</definedName>
    <definedName name="maxload9">#REF!</definedName>
    <definedName name="maxstli">#REF!</definedName>
    <definedName name="MEIOS_ADMINISTRATIVOS_E_DE_CONTROLE">#REF!</definedName>
    <definedName name="mfirwl">#REF!</definedName>
    <definedName name="MRWL">#REF!</definedName>
    <definedName name="MTM">#REF!</definedName>
    <definedName name="Organização1">#N/A</definedName>
    <definedName name="Organização2">#N/A</definedName>
    <definedName name="Outros1">#REF!</definedName>
    <definedName name="Outros2">#REF!</definedName>
    <definedName name="PAUSAS1">#REF!</definedName>
    <definedName name="PERCENT_LIFT">#REF!</definedName>
    <definedName name="PERCENTAGE">#REF!</definedName>
    <definedName name="Posturas1">#N/A</definedName>
    <definedName name="Posturas2">#N/A</definedName>
    <definedName name="prioridade">#REF!</definedName>
    <definedName name="PRODUÇÃO1">#REF!</definedName>
    <definedName name="Psicosociais1">#N/A</definedName>
    <definedName name="Psicosociais2">#N/A</definedName>
    <definedName name="QUANTIDADE">#REF!</definedName>
    <definedName name="Químicos1">#N/A</definedName>
    <definedName name="Químicos2">#N/A</definedName>
    <definedName name="REFEIÇÃO">#REF!</definedName>
    <definedName name="Repetição1">#N/A</definedName>
    <definedName name="Repetição2">#N/A</definedName>
    <definedName name="REVEZAMENTO1">#REF!</definedName>
    <definedName name="revisão">#REF!</definedName>
    <definedName name="RISCO">#REF!</definedName>
    <definedName name="Ruído1">#N/A</definedName>
    <definedName name="Ruído2">#N/A</definedName>
    <definedName name="sass" localSheetId="4">L3C1:L77C17</definedName>
    <definedName name="sass">L3C1:L77C17</definedName>
    <definedName name="Segurança1">#N/A</definedName>
    <definedName name="Segurança2">#N/A</definedName>
    <definedName name="status">#REF!</definedName>
    <definedName name="STLI1">#REF!</definedName>
    <definedName name="STLI10">#REF!</definedName>
    <definedName name="STLI2">#REF!</definedName>
    <definedName name="STLI3">#REF!</definedName>
    <definedName name="STLI4">#REF!</definedName>
    <definedName name="STLI5">#REF!</definedName>
    <definedName name="STLI6">#REF!</definedName>
    <definedName name="STLI7">#REF!</definedName>
    <definedName name="STLI8">#REF!</definedName>
    <definedName name="STLI9">#REF!</definedName>
    <definedName name="STRWL1">#REF!</definedName>
    <definedName name="STRWL10">#REF!</definedName>
    <definedName name="STRWL2">#REF!</definedName>
    <definedName name="STRWL3">#REF!</definedName>
    <definedName name="STRWL4">#REF!</definedName>
    <definedName name="STRWL5">#REF!</definedName>
    <definedName name="STRWL6">#REF!</definedName>
    <definedName name="STRWL7">#REF!</definedName>
    <definedName name="STRWL8">#REF!</definedName>
    <definedName name="STRWL9">#REF!</definedName>
    <definedName name="Sum.Freq1">#REF!</definedName>
    <definedName name="Sum.Freq10">#REF!</definedName>
    <definedName name="Sum.Freq2">#REF!</definedName>
    <definedName name="Sum.Freq3">#REF!</definedName>
    <definedName name="Sum.Freq4">#REF!</definedName>
    <definedName name="Sum.Freq5">#REF!</definedName>
    <definedName name="Sum.Freq6">#REF!</definedName>
    <definedName name="Sum.Freq7">#REF!</definedName>
    <definedName name="Sum.Freq8">#REF!</definedName>
    <definedName name="Sum.Freq9">#REF!</definedName>
    <definedName name="Tab_Med_Contr">#REF!</definedName>
    <definedName name="tabela" localSheetId="4">L3C1:L77C17</definedName>
    <definedName name="tabela" localSheetId="0">L3C1:L77C17</definedName>
    <definedName name="tabela">L3C1:L77C17</definedName>
    <definedName name="Temperatura1">#N/A</definedName>
    <definedName name="Temperatura2">#N/A</definedName>
    <definedName name="termo">#REF!</definedName>
    <definedName name="tip_acao">#REF!</definedName>
    <definedName name="tip_med">#REF!</definedName>
    <definedName name="TravDist">#REF!</definedName>
    <definedName name="TravDist1">#REF!</definedName>
    <definedName name="TravDist10">#REF!</definedName>
    <definedName name="TravDist2">#REF!</definedName>
    <definedName name="TravDist3">#REF!</definedName>
    <definedName name="TravDist4">#REF!</definedName>
    <definedName name="TravDist5">#REF!</definedName>
    <definedName name="TravDist6">#REF!</definedName>
    <definedName name="TravDist7">#REF!</definedName>
    <definedName name="TravDist8">#REF!</definedName>
    <definedName name="TravDist9">#REF!</definedName>
    <definedName name="TURNO">#REF!</definedName>
    <definedName name="TURNO_AVALIADO1">#REF!</definedName>
    <definedName name="Ventilação1">#N/A</definedName>
    <definedName name="Ventilação2">#N/A</definedName>
    <definedName name="VertLoc">#REF!</definedName>
    <definedName name="VertLoc1">#REF!</definedName>
    <definedName name="VertLoc10">#REF!</definedName>
    <definedName name="VertLoc2">#REF!</definedName>
    <definedName name="VertLoc3">#REF!</definedName>
    <definedName name="VertLoc4">#REF!</definedName>
    <definedName name="VertLoc5">#REF!</definedName>
    <definedName name="VertLoc6">#REF!</definedName>
    <definedName name="VertLoc7">#REF!</definedName>
    <definedName name="VertLoc8">#REF!</definedName>
    <definedName name="VertLoc9">#REF!</definedName>
    <definedName name="Vibração1">#N/A</definedName>
    <definedName name="Vibração2">#N/A</definedName>
    <definedName name="VM">#REF!</definedName>
    <definedName name="VM.1">#REF!</definedName>
    <definedName name="VM.10">#REF!</definedName>
    <definedName name="VM.2">#REF!</definedName>
    <definedName name="VM.3">#REF!</definedName>
    <definedName name="VM.4">#REF!</definedName>
    <definedName name="VM.5">#REF!</definedName>
    <definedName name="VM.6">#REF!</definedName>
    <definedName name="VM.7">#REF!</definedName>
    <definedName name="VM.8">#REF!</definedName>
    <definedName name="VM.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0" l="1"/>
  <c r="I6" i="20"/>
  <c r="J5" i="20"/>
  <c r="K5" i="20" s="1"/>
  <c r="J6" i="20"/>
  <c r="J7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0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K39" i="20" l="1"/>
  <c r="I39" i="20"/>
  <c r="K38" i="20"/>
  <c r="I38" i="20"/>
  <c r="K37" i="20"/>
  <c r="I37" i="20"/>
  <c r="K36" i="20"/>
  <c r="I36" i="20"/>
  <c r="K35" i="20"/>
  <c r="I35" i="20"/>
  <c r="K34" i="20"/>
  <c r="I34" i="20"/>
  <c r="K33" i="20"/>
  <c r="I33" i="20"/>
  <c r="K32" i="20"/>
  <c r="I32" i="20"/>
  <c r="K31" i="20"/>
  <c r="I31" i="20"/>
  <c r="K30" i="20"/>
  <c r="I30" i="20"/>
  <c r="K29" i="20"/>
  <c r="I29" i="20"/>
  <c r="K28" i="20"/>
  <c r="I28" i="20"/>
  <c r="K27" i="20"/>
  <c r="I27" i="20"/>
  <c r="K26" i="20"/>
  <c r="I26" i="20"/>
  <c r="K25" i="20"/>
  <c r="I25" i="20"/>
  <c r="K24" i="20"/>
  <c r="I24" i="20"/>
  <c r="K23" i="20"/>
  <c r="I23" i="20"/>
  <c r="K22" i="20"/>
  <c r="I22" i="20"/>
  <c r="K21" i="20"/>
  <c r="I21" i="20"/>
  <c r="K20" i="20"/>
  <c r="I20" i="20"/>
  <c r="K19" i="20"/>
  <c r="I19" i="20"/>
  <c r="K18" i="20"/>
  <c r="I18" i="20"/>
  <c r="K17" i="20"/>
  <c r="I17" i="20"/>
  <c r="K16" i="20"/>
  <c r="I16" i="20"/>
  <c r="K15" i="20"/>
  <c r="I15" i="20"/>
  <c r="K14" i="20"/>
  <c r="I14" i="20"/>
  <c r="K13" i="20"/>
  <c r="I13" i="20"/>
  <c r="K12" i="20"/>
  <c r="I12" i="20"/>
  <c r="K11" i="20"/>
  <c r="I11" i="20"/>
  <c r="K10" i="20"/>
  <c r="I10" i="20"/>
  <c r="K9" i="20"/>
  <c r="I9" i="20"/>
  <c r="K8" i="20"/>
  <c r="I8" i="20"/>
  <c r="K7" i="20"/>
  <c r="I7" i="20"/>
  <c r="K6" i="20"/>
  <c r="M5" i="20"/>
  <c r="D51" i="20" l="1"/>
  <c r="D49" i="20"/>
  <c r="D46" i="20"/>
  <c r="D47" i="20"/>
  <c r="D48" i="20"/>
  <c r="D50" i="20"/>
  <c r="D45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tc={904EC274-C0B5-4762-9E8F-34A141B0229F}</author>
    <author>tc={95F7D249-A5F6-4777-ACF8-99EAF365F56B}</author>
  </authors>
  <commentList>
    <comment ref="I1" authorId="0" shapeId="0" xr:uid="{904EC274-C0B5-4762-9E8F-34A141B022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Para as dimensões "controle", "apoio gerencial" e dos "colegas", "cargo" e "mudanças", as respostas assinaladas “nunca” e “raramente” são consideradas e quantificadas como indicativas de estresse. Já as dimensões "demandas" e "relacionamentos" possuem escala invertida, de modo que as respostas assinaladas “sempre” e “frequentemente” foram consideradas indicativas de estresse </t>
      </text>
    </comment>
    <comment ref="Q5" authorId="1" shapeId="0" xr:uid="{95F7D249-A5F6-4777-ACF8-99EAF365F5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NUNCA</t>
      </text>
    </comment>
  </commentList>
</comments>
</file>

<file path=xl/sharedStrings.xml><?xml version="1.0" encoding="utf-8"?>
<sst xmlns="http://schemas.openxmlformats.org/spreadsheetml/2006/main" count="1007" uniqueCount="145">
  <si>
    <t>Comunicação e mudanças</t>
  </si>
  <si>
    <t>Cargo</t>
  </si>
  <si>
    <t>Relacionamentos</t>
  </si>
  <si>
    <t>Apoio dos colegas</t>
  </si>
  <si>
    <t>Apoio da chefia</t>
  </si>
  <si>
    <t>Controle</t>
  </si>
  <si>
    <t>Demandas</t>
  </si>
  <si>
    <t>S</t>
  </si>
  <si>
    <t>F</t>
  </si>
  <si>
    <t>A</t>
  </si>
  <si>
    <t>R</t>
  </si>
  <si>
    <t>Posso decidir quando fazer uma pausa</t>
  </si>
  <si>
    <t>N</t>
  </si>
  <si>
    <t>Sempre</t>
  </si>
  <si>
    <t>Frequentemente</t>
  </si>
  <si>
    <t>As vezes</t>
  </si>
  <si>
    <t>Raramente</t>
  </si>
  <si>
    <t>Nunca</t>
  </si>
  <si>
    <r>
      <rPr>
        <b/>
        <sz val="12"/>
        <color theme="1"/>
        <rFont val="Abadi"/>
        <family val="2"/>
      </rPr>
      <t>Instruções:</t>
    </r>
    <r>
      <rPr>
        <sz val="12"/>
        <color theme="1"/>
        <rFont val="Abadi"/>
        <family val="2"/>
      </rPr>
      <t xml:space="preserve"> O questionário abaixo é composto por 35 questões, sobre como você se sente com relação ao seu trabalho. Você não será identificado individualmente, portanto procure ser sincero nas respostas. Leia com atenção e assinale a alternativa que mais representa a freqüência dos acontecimentos no seu trabalho.</t>
    </r>
  </si>
  <si>
    <t>HSE-IT (Adaptado): QUESTIONÁRIO SOBRE O AMBIENTE DE TRABALHO</t>
  </si>
  <si>
    <t>Demanda</t>
  </si>
  <si>
    <t>As exigências de trabalho feitas por colegas e supervisores são difíceis de conciliar</t>
  </si>
  <si>
    <t>Tenho prazos inatingíveis</t>
  </si>
  <si>
    <t>Devo trabalhar muito intensamente</t>
  </si>
  <si>
    <t>Não tenho possibilidade de fazer pausas suficientes</t>
  </si>
  <si>
    <t>Recebo pressão para trabalhar em outro horário</t>
  </si>
  <si>
    <t>Tenho que fazer meu trabalho com muita rapidez</t>
  </si>
  <si>
    <t>As pausas temporárias são impossíveis de cumprir</t>
  </si>
  <si>
    <t>Consideram a minha opinião sobre a velocidade do meu trabalho</t>
  </si>
  <si>
    <t>Tenho liberdade de escolha de como fazer o meu trabalho</t>
  </si>
  <si>
    <t>Tenho liberdade de escolha para decidir o que fazer no trabalho</t>
  </si>
  <si>
    <t>Minhas sugestões são consideradas sobre como fazer meu trabalho</t>
  </si>
  <si>
    <t>O meu horário de trabalho pode ser flexível</t>
  </si>
  <si>
    <t>Recebo informações e suporte que me ajudam noo trabalho que eu faço</t>
  </si>
  <si>
    <t>Posso confiar no meu chefe quando eu tiver problemas no trabalho</t>
  </si>
  <si>
    <t>Tenho suportado trabalhos emocionalmente exigentes</t>
  </si>
  <si>
    <t>Meu chefe me incentiva no trabalho</t>
  </si>
  <si>
    <t>Quando o trabalho se torna difícil, posso contar com ajuda dos colegas</t>
  </si>
  <si>
    <t>Meus colegas me ajudam e me dão apoio  quando eu preciso</t>
  </si>
  <si>
    <t>No trabalho os meus colegas demonstram o respeito que mereço</t>
  </si>
  <si>
    <t>Os colegas estão disponíveis para escutar os meus problemas de trabalho</t>
  </si>
  <si>
    <t>Falam ou se comportam comigo de forma dura</t>
  </si>
  <si>
    <t>Existem conflitos entre os colegas</t>
  </si>
  <si>
    <t>Sinto que sou perseguido no trabalho</t>
  </si>
  <si>
    <t>As relações no trabalho são tensas</t>
  </si>
  <si>
    <t>Tenho clareza sobre o que se espera do meu trabalho</t>
  </si>
  <si>
    <t>Eu sei como fazer o meu trabalho</t>
  </si>
  <si>
    <t>Estão claras as minhas tarefas e responsabilidades</t>
  </si>
  <si>
    <t>Os objetivos e metas do meu setor são claros para mim</t>
  </si>
  <si>
    <t>Eu vejo como o meu trabalho se encaixa nos objetivos da empresa</t>
  </si>
  <si>
    <t>Tenho oportunidades para pedir explicações ao chefe sobre as mudanças relacionadas ao meu trabalho</t>
  </si>
  <si>
    <t>As pessoas são sempre consultadas sobre as mudanças no trabalho</t>
  </si>
  <si>
    <t>Quando há mudanças, faço o meu trabalho com o mesmo carinho</t>
  </si>
  <si>
    <r>
      <t>Assinalar com um "</t>
    </r>
    <r>
      <rPr>
        <b/>
        <sz val="12"/>
        <color theme="1"/>
        <rFont val="Abadi"/>
        <family val="2"/>
      </rPr>
      <t>X</t>
    </r>
    <r>
      <rPr>
        <sz val="12"/>
        <color theme="1"/>
        <rFont val="Abadi"/>
        <family val="2"/>
      </rPr>
      <t>" somente uma alternativa para cada questão. Marcar todas as Linhas:</t>
    </r>
  </si>
  <si>
    <t>x</t>
  </si>
  <si>
    <t>Eu não faço algumas tarefas porque tenho muita coisa para fazer</t>
  </si>
  <si>
    <t>Quando algo no trabalho me perturba ou irrita posso falar com o meu chefe</t>
  </si>
  <si>
    <t>Comercial</t>
  </si>
  <si>
    <t>Questões</t>
  </si>
  <si>
    <t>Dimensões</t>
  </si>
  <si>
    <t>Frequência</t>
  </si>
  <si>
    <t>Tabulação da Dimensão</t>
  </si>
  <si>
    <t>Equivalência</t>
  </si>
  <si>
    <t>Tab. da Freq. Nominal</t>
  </si>
  <si>
    <t>Freq. Adaptada</t>
  </si>
  <si>
    <t>HSE-T</t>
  </si>
  <si>
    <t>Meus colegas me ajudam e me dão apoio quando eu preciso</t>
  </si>
  <si>
    <t>Cargo / Papel</t>
  </si>
  <si>
    <t>Comunicação e mudanças organizacionais</t>
  </si>
  <si>
    <t>Às vezes</t>
  </si>
  <si>
    <t>Perguntas</t>
  </si>
  <si>
    <t>nº de questões</t>
  </si>
  <si>
    <t>Almoxarifado</t>
  </si>
  <si>
    <t>Recepcionista</t>
  </si>
  <si>
    <t>Setor</t>
  </si>
  <si>
    <t>Função</t>
  </si>
  <si>
    <t>X</t>
  </si>
  <si>
    <t>Extrusão</t>
  </si>
  <si>
    <t>Operador de carga</t>
  </si>
  <si>
    <t>Recursos Humanos</t>
  </si>
  <si>
    <t>Logística</t>
  </si>
  <si>
    <t>Jurídico</t>
  </si>
  <si>
    <t>Marketing</t>
  </si>
  <si>
    <t>Financeiro</t>
  </si>
  <si>
    <t>Analisa I</t>
  </si>
  <si>
    <t>Supervisor</t>
  </si>
  <si>
    <t>Analisa II</t>
  </si>
  <si>
    <t>Assistente II</t>
  </si>
  <si>
    <t>Gerente</t>
  </si>
  <si>
    <t>Coordenador</t>
  </si>
  <si>
    <t>Advogado Jr</t>
  </si>
  <si>
    <t>Estagiário</t>
  </si>
  <si>
    <t>Advogado Sr.</t>
  </si>
  <si>
    <t>Aprendiz</t>
  </si>
  <si>
    <t>Analista II</t>
  </si>
  <si>
    <t>Operador de carga III</t>
  </si>
  <si>
    <t>Cargo, Controle, Apoio dos colegas, Apoio da chefia, Comunicação e mudanças</t>
  </si>
  <si>
    <t>Demanda, Relacionamentos</t>
  </si>
  <si>
    <t>B</t>
  </si>
  <si>
    <t>C</t>
  </si>
  <si>
    <t>Quantidade de trabalho, pressão por prazos, ritmo das tarefas e condições do ambiente que podem gerar cansaço ou estresse.</t>
  </si>
  <si>
    <t>Quanto você pode decidir como fazer seu trabalho, organizar suas tarefas e controlar seu ritmo.</t>
  </si>
  <si>
    <t>Ajuda, orientação e suporte que você recebe do seu gestor quando precisa.</t>
  </si>
  <si>
    <t>Ajuda e colaboração que você recebe das pessoas que trabalham com você.</t>
  </si>
  <si>
    <t>Como as pessoas se tratam no trabalho e se o ambiente é respeitoso e sem conflitos ou desrespeito.</t>
  </si>
  <si>
    <t>Se você entende bem o que deve fazer no trabalho e quais são suas responsabilidades.</t>
  </si>
  <si>
    <t>Como a empresa avisa e conduz mudanças que afetam seu trabalho.</t>
  </si>
  <si>
    <t>ANTES</t>
  </si>
  <si>
    <t>DEPOIS</t>
  </si>
  <si>
    <t>As tarefas pedidas por colegas e chefes são difíceis de conciliar entre si</t>
  </si>
  <si>
    <t>Recebo prazos que são difíceis ou impossíveis de cumprir</t>
  </si>
  <si>
    <t>Deixo de fazer algumas tarefas porque tenho trabalho demais</t>
  </si>
  <si>
    <t>Não consigo fazer pausas suficientes durante o trabalho</t>
  </si>
  <si>
    <t>Recebo pressão para trabalhar fora do meu horário normal</t>
  </si>
  <si>
    <t>Preciso fazer meu trabalho muito rápido</t>
  </si>
  <si>
    <t>As pausas durante o trabalho são difíceis ou impossíveis de fazer</t>
  </si>
  <si>
    <t>Posso decidir quando fazer pausas no trabalho</t>
  </si>
  <si>
    <t>Minha opinião é considerada sobre o ritmo do meu trabalho</t>
  </si>
  <si>
    <t>Tenho liberdade para decidir como fazer meu trabalho</t>
  </si>
  <si>
    <t>Tenho liberdade para organizar as tarefas que preciso fazer no trabalho</t>
  </si>
  <si>
    <t>Recebo informações e apoio que me ajudam a fazer meu trabalho</t>
  </si>
  <si>
    <t>Posso confiar no meu chefe quando tenho problemas no trabalho</t>
  </si>
  <si>
    <t>Quando algo no trabalho me incomoda ou irrita, posso falar com meu chefe</t>
  </si>
  <si>
    <t>Recebo apoio do meu chefe quando o trabalho é emocionalmente difícil</t>
  </si>
  <si>
    <t>Meu chefe me incentiva e apoia no trabalho</t>
  </si>
  <si>
    <t>Quando o trabalho fica difícil, posso contar com a ajuda dos colegas</t>
  </si>
  <si>
    <t>Meus colegas me ajudam e me apoiam quando preciso</t>
  </si>
  <si>
    <t>No trabalho, meus colegas me tratam com respeito</t>
  </si>
  <si>
    <t>Os colegas estão disponíveis para ouvir meus problemas de trabalho</t>
  </si>
  <si>
    <t>Falam comigo ou se comportam comigo de forma grosseira ou desrespeitosa</t>
  </si>
  <si>
    <t>Existem conflitos frequentes entre os colegas de trabalho</t>
  </si>
  <si>
    <t>Sinto que sou tratado de forma injusta ou perseguido no trabalho</t>
  </si>
  <si>
    <t>O clima entre as pessoas no trabalho é tenso</t>
  </si>
  <si>
    <t>Sei claramente o que esperam do meu trabalho</t>
  </si>
  <si>
    <t>Sei como fazer meu trabalho</t>
  </si>
  <si>
    <t>Minhas tarefas e responsabilidades são claras para mim</t>
  </si>
  <si>
    <t>Os objetivos e metas da minha equipe ou setor são claros para mim</t>
  </si>
  <si>
    <t>Entendo como meu trabalho contribui para os resultados da empresa</t>
  </si>
  <si>
    <t>Tenho oportunidade de pedir explicações ao meu chefe sobre mudanças que afetam meu trabalho</t>
  </si>
  <si>
    <t>As pessoas são consultadas antes de mudanças no trabalho</t>
  </si>
  <si>
    <t>Quando há mudanças, recebo informações claras para continuar fazendo meu trabalho</t>
  </si>
  <si>
    <t>Minhas sugestões e opiniões são consideradas sobre a forma de fazer meu trabalho</t>
  </si>
  <si>
    <t>Tenho  flexibilidade no meu horário de trabalho quando necessário</t>
  </si>
  <si>
    <r>
      <t xml:space="preserve">Demandas </t>
    </r>
    <r>
      <rPr>
        <i/>
        <sz val="10"/>
        <color rgb="FFFF0000"/>
        <rFont val="Aptos"/>
        <family val="2"/>
      </rPr>
      <t xml:space="preserve">*Critério de pontuação invertido </t>
    </r>
  </si>
  <si>
    <r>
      <t xml:space="preserve">Relacionamentos </t>
    </r>
    <r>
      <rPr>
        <i/>
        <sz val="10"/>
        <color rgb="FFFF0000"/>
        <rFont val="Aptos"/>
        <family val="2"/>
      </rPr>
      <t xml:space="preserve">*Critério de pontuação invertido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</si>
</sst>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2"/>
      <color theme="1" tint="4.9989318521683403E-2"/>
      <name val="Arial"/>
      <family val="2"/>
    </font>
    <font>
      <sz val="11"/>
      <color theme="1"/>
      <name val="Abadi"/>
      <family val="2"/>
    </font>
    <font>
      <sz val="12"/>
      <color rgb="FFFF0000"/>
      <name val="Abadi"/>
      <family val="2"/>
    </font>
    <font>
      <sz val="12"/>
      <color theme="1"/>
      <name val="Abadi"/>
      <family val="2"/>
    </font>
    <font>
      <b/>
      <sz val="11"/>
      <color theme="1"/>
      <name val="Abadi"/>
      <family val="2"/>
    </font>
    <font>
      <b/>
      <sz val="12"/>
      <color theme="1"/>
      <name val="Abadi"/>
      <family val="2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3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Abadi"/>
      <family val="2"/>
    </font>
    <font>
      <b/>
      <sz val="11"/>
      <color rgb="FFFF0000"/>
      <name val="Abadi"/>
      <family val="2"/>
    </font>
    <font>
      <sz val="12"/>
      <name val="Abadi"/>
      <family val="2"/>
    </font>
    <font>
      <sz val="12"/>
      <name val="Arial"/>
      <family val="2"/>
    </font>
    <font>
      <sz val="11"/>
      <color rgb="FFFF0000"/>
      <name val="Abadi"/>
      <family val="2"/>
    </font>
    <font>
      <sz val="16"/>
      <name val="Abadi"/>
      <family val="2"/>
    </font>
    <font>
      <sz val="11"/>
      <color rgb="FFFF0000"/>
      <name val="Calibri"/>
      <family val="2"/>
      <scheme val="minor"/>
    </font>
    <font>
      <sz val="16"/>
      <color rgb="FFFF0000"/>
      <name val="Abadi"/>
      <family val="2"/>
    </font>
    <font>
      <b/>
      <sz val="15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name val="Abadi"/>
      <family val="2"/>
    </font>
    <font>
      <b/>
      <sz val="10"/>
      <name val="Abadi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badi"/>
      <family val="2"/>
    </font>
    <font>
      <sz val="12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2"/>
      <color theme="1"/>
      <name val="Aptos"/>
      <family val="2"/>
    </font>
    <font>
      <b/>
      <i/>
      <sz val="11"/>
      <color theme="1"/>
      <name val="Calibri"/>
      <family val="2"/>
      <scheme val="minor"/>
    </font>
    <font>
      <i/>
      <sz val="10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wrapText="1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3" fillId="0" borderId="0" xfId="0" applyFont="1"/>
    <xf numFmtId="0" fontId="18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justify" vertical="center" wrapText="1"/>
    </xf>
    <xf numFmtId="0" fontId="2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justify" vertical="center" wrapText="1"/>
    </xf>
    <xf numFmtId="0" fontId="23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16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indent="5"/>
    </xf>
    <xf numFmtId="0" fontId="0" fillId="0" borderId="0" xfId="0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8" fillId="0" borderId="0" xfId="0" applyFont="1"/>
    <xf numFmtId="0" fontId="2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textRotation="90"/>
    </xf>
    <xf numFmtId="0" fontId="31" fillId="0" borderId="0" xfId="0" applyFont="1" applyAlignment="1">
      <alignment horizontal="center" vertical="center"/>
    </xf>
  </cellXfs>
  <cellStyles count="2">
    <cellStyle name="Normal" xfId="0" builtinId="0"/>
    <cellStyle name="Normal 2" xfId="1" xr:uid="{93F5AD21-7331-4893-85B7-6118A05A1181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5B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200"/>
              <a:t>Distribuição das médias por domínio pesquisado (Adaptação da Ferramenta</a:t>
            </a:r>
            <a:r>
              <a:rPr lang="pt-BR" sz="1200" baseline="0"/>
              <a:t> Original)</a:t>
            </a:r>
            <a:endParaRPr lang="pt-BR" sz="1200"/>
          </a:p>
        </c:rich>
      </c:tx>
      <c:layout>
        <c:manualLayout>
          <c:xMode val="edge"/>
          <c:yMode val="edge"/>
          <c:x val="0.15101798558188245"/>
          <c:y val="2.51988810876396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bg1">
                    <a:lumMod val="95000"/>
                  </a:schemeClr>
                </a:gs>
                <a:gs pos="100000">
                  <a:srgbClr val="FF0000"/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'HSE-IT'!$C$45:$C$51</c:f>
              <c:strCache>
                <c:ptCount val="7"/>
                <c:pt idx="0">
                  <c:v>Demandas</c:v>
                </c:pt>
                <c:pt idx="1">
                  <c:v>Controle</c:v>
                </c:pt>
                <c:pt idx="2">
                  <c:v>Apoio da chefia</c:v>
                </c:pt>
                <c:pt idx="3">
                  <c:v>Apoio dos colegas</c:v>
                </c:pt>
                <c:pt idx="4">
                  <c:v>Relacionamentos</c:v>
                </c:pt>
                <c:pt idx="5">
                  <c:v>Cargo</c:v>
                </c:pt>
                <c:pt idx="6">
                  <c:v>Comunicação e mudanças</c:v>
                </c:pt>
              </c:strCache>
            </c:strRef>
          </c:cat>
          <c:val>
            <c:numRef>
              <c:f>'HSE-IT'!$D$45:$D$51</c:f>
              <c:numCache>
                <c:formatCode>General</c:formatCode>
                <c:ptCount val="7"/>
                <c:pt idx="0">
                  <c:v>4.5</c:v>
                </c:pt>
                <c:pt idx="1">
                  <c:v>2.1666666666666665</c:v>
                </c:pt>
                <c:pt idx="2">
                  <c:v>3.8</c:v>
                </c:pt>
                <c:pt idx="3">
                  <c:v>4.5</c:v>
                </c:pt>
                <c:pt idx="4">
                  <c:v>4.75</c:v>
                </c:pt>
                <c:pt idx="5">
                  <c:v>4.2</c:v>
                </c:pt>
                <c:pt idx="6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8-4D68-9EE9-3D69DD68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4162536"/>
        <c:axId val="264164888"/>
      </c:barChart>
      <c:catAx>
        <c:axId val="264162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64164888"/>
        <c:crosses val="autoZero"/>
        <c:auto val="1"/>
        <c:lblAlgn val="ctr"/>
        <c:lblOffset val="100"/>
        <c:noMultiLvlLbl val="0"/>
      </c:catAx>
      <c:valAx>
        <c:axId val="26416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64162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5486400</xdr:colOff>
      <xdr:row>24</xdr:row>
      <xdr:rowOff>123825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2E67370-8BEB-4567-A3C9-2CB092089410}"/>
            </a:ext>
          </a:extLst>
        </xdr:cNvPr>
        <xdr:cNvSpPr txBox="1"/>
      </xdr:nvSpPr>
      <xdr:spPr>
        <a:xfrm>
          <a:off x="5781675" y="7229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0</xdr:col>
      <xdr:colOff>174626</xdr:colOff>
      <xdr:row>39</xdr:row>
      <xdr:rowOff>165100</xdr:rowOff>
    </xdr:from>
    <xdr:to>
      <xdr:col>3</xdr:col>
      <xdr:colOff>67734</xdr:colOff>
      <xdr:row>59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F88BF8-4271-4A1A-993D-647353FD5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406400</xdr:colOff>
      <xdr:row>44</xdr:row>
      <xdr:rowOff>25399</xdr:rowOff>
    </xdr:from>
    <xdr:to>
      <xdr:col>7</xdr:col>
      <xdr:colOff>389466</xdr:colOff>
      <xdr:row>51</xdr:row>
      <xdr:rowOff>118533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F3DB950-557E-46F5-A52C-A360D76C5250}"/>
            </a:ext>
          </a:extLst>
        </xdr:cNvPr>
        <xdr:cNvSpPr txBox="1"/>
      </xdr:nvSpPr>
      <xdr:spPr>
        <a:xfrm>
          <a:off x="8652933" y="11844866"/>
          <a:ext cx="1676400" cy="14562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Até 1 - Risco muito alto</a:t>
          </a:r>
        </a:p>
        <a:p>
          <a:r>
            <a:rPr lang="pt-BR" sz="1100"/>
            <a:t>1,1</a:t>
          </a:r>
          <a:r>
            <a:rPr lang="pt-BR" sz="1100" baseline="0"/>
            <a:t> a 2 - Risco alto</a:t>
          </a:r>
        </a:p>
        <a:p>
          <a:r>
            <a:rPr lang="pt-BR" sz="1100" baseline="0"/>
            <a:t>2,1 a 3 - Risco moderado</a:t>
          </a:r>
        </a:p>
        <a:p>
          <a:r>
            <a:rPr lang="pt-BR" sz="1100" baseline="0"/>
            <a:t>3,1 a 4 - Risco baixo</a:t>
          </a:r>
        </a:p>
        <a:p>
          <a:r>
            <a:rPr lang="pt-BR" sz="1100" baseline="0"/>
            <a:t>4,1 a 5 - Risco muito baixo</a:t>
          </a:r>
          <a:endParaRPr lang="pt-BR" sz="1100"/>
        </a:p>
      </xdr:txBody>
    </xdr:sp>
    <xdr:clientData/>
  </xdr:twoCellAnchor>
  <xdr:twoCellAnchor>
    <xdr:from>
      <xdr:col>3</xdr:col>
      <xdr:colOff>230717</xdr:colOff>
      <xdr:row>44</xdr:row>
      <xdr:rowOff>77259</xdr:rowOff>
    </xdr:from>
    <xdr:to>
      <xdr:col>4</xdr:col>
      <xdr:colOff>7408</xdr:colOff>
      <xdr:row>49</xdr:row>
      <xdr:rowOff>86784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4470D3C-0D67-41EE-826E-8B8297FD4D6A}"/>
            </a:ext>
          </a:extLst>
        </xdr:cNvPr>
        <xdr:cNvSpPr/>
      </xdr:nvSpPr>
      <xdr:spPr>
        <a:xfrm>
          <a:off x="8477250" y="11896726"/>
          <a:ext cx="200025" cy="983191"/>
        </a:xfrm>
        <a:prstGeom prst="rect">
          <a:avLst/>
        </a:prstGeom>
        <a:gradFill>
          <a:gsLst>
            <a:gs pos="95000">
              <a:schemeClr val="bg1">
                <a:lumMod val="95000"/>
              </a:schemeClr>
            </a:gs>
            <a:gs pos="0">
              <a:srgbClr val="FF0000"/>
            </a:gs>
          </a:gsLst>
          <a:lin ang="5400000" scaled="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5486400</xdr:colOff>
      <xdr:row>24</xdr:row>
      <xdr:rowOff>123825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5E81CEC-475D-4EB7-AA60-705C609DF368}"/>
            </a:ext>
          </a:extLst>
        </xdr:cNvPr>
        <xdr:cNvSpPr txBox="1"/>
      </xdr:nvSpPr>
      <xdr:spPr>
        <a:xfrm>
          <a:off x="6926580" y="711898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iliard" id="{B3A14A82-74E2-4181-BC14-FB281709511D}" userId="S::giliard@valifort.com.br::bc698822-1f00-48a6-8abe-a7bb04b95b08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1-13T02:14:23.65" personId="{B3A14A82-74E2-4181-BC14-FB281709511D}" id="{904EC274-C0B5-4762-9E8F-34A141B0229F}">
    <text xml:space="preserve">Para as dimensões "controle", "apoio gerencial" e dos "colegas", "cargo" e "mudanças", as respostas assinaladas “nunca” e “raramente” são consideradas e quantificadas como indicativas de estresse. Já as dimensões "demandas" e "relacionamentos" possuem escala invertida, de modo que as respostas assinaladas “sempre” e “frequentemente” foram consideradas indicativas de estresse </text>
  </threadedComment>
  <threadedComment ref="Q5" dT="2026-01-13T01:59:25.53" personId="{B3A14A82-74E2-4181-BC14-FB281709511D}" id="{95F7D249-A5F6-4777-ACF8-99EAF365F56B}">
    <text>NUNCA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D320-4E8A-4AAB-90BF-4F668E31FE99}">
  <sheetPr filterMode="1"/>
  <dimension ref="A1:R66"/>
  <sheetViews>
    <sheetView showGridLines="0" view="pageBreakPreview" topLeftCell="B1" zoomScale="70" zoomScaleNormal="100" zoomScaleSheetLayoutView="70" workbookViewId="0">
      <pane ySplit="4" topLeftCell="A22" activePane="bottomLeft" state="frozen"/>
      <selection pane="bottomLeft" activeCell="D20" sqref="D20"/>
    </sheetView>
  </sheetViews>
  <sheetFormatPr defaultRowHeight="14.4" x14ac:dyDescent="0.3"/>
  <cols>
    <col min="1" max="1" width="4.5546875" bestFit="1" customWidth="1"/>
    <col min="2" max="2" width="16.44140625" style="16" customWidth="1"/>
    <col min="3" max="3" width="105.44140625" customWidth="1"/>
    <col min="4" max="8" width="6.109375" customWidth="1"/>
    <col min="9" max="9" width="8.33203125" style="27" customWidth="1"/>
    <col min="10" max="11" width="5.21875" style="27" bestFit="1" customWidth="1"/>
    <col min="12" max="12" width="2.88671875" style="23" customWidth="1"/>
    <col min="13" max="16" width="3.109375" style="23" customWidth="1"/>
    <col min="17" max="17" width="2.44140625" style="27" customWidth="1"/>
    <col min="18" max="18" width="2.33203125" style="27" customWidth="1"/>
    <col min="19" max="19" width="8.88671875" customWidth="1"/>
  </cols>
  <sheetData>
    <row r="1" spans="1:18" ht="22.8" customHeight="1" x14ac:dyDescent="0.3">
      <c r="A1" s="71" t="s">
        <v>19</v>
      </c>
      <c r="B1" s="72"/>
      <c r="C1" s="72"/>
      <c r="D1" s="72"/>
      <c r="E1" s="72"/>
      <c r="F1" s="72"/>
      <c r="G1" s="72"/>
      <c r="H1" s="73"/>
      <c r="I1" s="77" t="s">
        <v>64</v>
      </c>
      <c r="J1" s="69" t="s">
        <v>61</v>
      </c>
      <c r="K1" s="69" t="s">
        <v>63</v>
      </c>
      <c r="Q1" s="69" t="s">
        <v>60</v>
      </c>
      <c r="R1" s="69" t="s">
        <v>62</v>
      </c>
    </row>
    <row r="2" spans="1:18" ht="15.6" x14ac:dyDescent="0.3">
      <c r="A2" s="13"/>
      <c r="B2" s="15"/>
      <c r="C2" s="3"/>
      <c r="D2" s="2"/>
      <c r="E2" s="2"/>
      <c r="F2" s="2"/>
      <c r="G2" s="2"/>
      <c r="H2" s="12"/>
      <c r="I2" s="77"/>
      <c r="J2" s="69"/>
      <c r="K2" s="69"/>
      <c r="Q2" s="69"/>
      <c r="R2" s="69"/>
    </row>
    <row r="3" spans="1:18" ht="16.8" x14ac:dyDescent="0.35">
      <c r="A3" s="74" t="s">
        <v>53</v>
      </c>
      <c r="B3" s="75"/>
      <c r="C3" s="75"/>
      <c r="D3" s="75"/>
      <c r="E3" s="75"/>
      <c r="F3" s="75"/>
      <c r="G3" s="75"/>
      <c r="H3" s="76"/>
      <c r="I3" s="77"/>
      <c r="J3" s="69"/>
      <c r="K3" s="69"/>
      <c r="Q3" s="69"/>
      <c r="R3" s="69"/>
    </row>
    <row r="4" spans="1:18" ht="99.75" customHeight="1" x14ac:dyDescent="0.3">
      <c r="A4" s="14" t="s">
        <v>58</v>
      </c>
      <c r="B4" s="18" t="s">
        <v>59</v>
      </c>
      <c r="C4" s="11" t="s">
        <v>18</v>
      </c>
      <c r="D4" s="9" t="s">
        <v>17</v>
      </c>
      <c r="E4" s="10" t="s">
        <v>16</v>
      </c>
      <c r="F4" s="10" t="s">
        <v>15</v>
      </c>
      <c r="G4" s="10" t="s">
        <v>14</v>
      </c>
      <c r="H4" s="9" t="s">
        <v>13</v>
      </c>
      <c r="I4" s="78"/>
      <c r="J4" s="69"/>
      <c r="K4" s="70"/>
      <c r="Q4" s="69"/>
      <c r="R4" s="69"/>
    </row>
    <row r="5" spans="1:18" ht="20.25" hidden="1" customHeight="1" x14ac:dyDescent="0.3">
      <c r="A5" s="20">
        <v>1</v>
      </c>
      <c r="B5" s="19" t="s">
        <v>1</v>
      </c>
      <c r="C5" s="21" t="s">
        <v>45</v>
      </c>
      <c r="D5" s="22"/>
      <c r="E5" s="22"/>
      <c r="F5" s="22"/>
      <c r="G5" s="22" t="s">
        <v>54</v>
      </c>
      <c r="H5" s="22"/>
      <c r="I5" s="24">
        <f>IF(D5="x",1,IF(E5="x",2,IF(F5="x",3,IF(G5="x",4,IF(H5="x",5,"-")))))</f>
        <v>4</v>
      </c>
      <c r="J5" s="25" t="str">
        <f>IF(D5="x","N",IF(E5="x","R",IF(F5="x","A",IF(G5="x","F",IF(H5="x","S","-")))))</f>
        <v>F</v>
      </c>
      <c r="K5" s="25">
        <f>INDEX($R$5:$R$9,MATCH(J5,$Q$5:$Q$9,0),1)</f>
        <v>4</v>
      </c>
      <c r="M5" s="23" t="str">
        <f>IF(K5=2,"X","")</f>
        <v/>
      </c>
      <c r="Q5" s="32" t="s">
        <v>12</v>
      </c>
      <c r="R5" s="23">
        <v>1</v>
      </c>
    </row>
    <row r="6" spans="1:18" ht="20.25" hidden="1" customHeight="1" x14ac:dyDescent="0.3">
      <c r="A6" s="20">
        <v>2</v>
      </c>
      <c r="B6" s="19" t="s">
        <v>5</v>
      </c>
      <c r="C6" s="21" t="s">
        <v>11</v>
      </c>
      <c r="D6" s="22"/>
      <c r="E6" s="22"/>
      <c r="F6" s="22" t="s">
        <v>54</v>
      </c>
      <c r="G6" s="22"/>
      <c r="H6" s="22"/>
      <c r="I6" s="24">
        <f>IF(D6="x",1,IF(E6="x",2,IF(F6="x",3,IF(G6="x",4,IF(H6="x",5,"-")))))</f>
        <v>3</v>
      </c>
      <c r="J6" s="25" t="str">
        <f t="shared" ref="J6:J39" si="0">IF(D6="x","N",IF(E6="x","R",IF(F6="x","A",IF(G6="x","F",IF(H6="x","S","-")))))</f>
        <v>A</v>
      </c>
      <c r="K6" s="25">
        <f t="shared" ref="K6:K39" si="1">INDEX($R$5:$R$9,MATCH(J6,$Q$5:$Q$9,0),1)</f>
        <v>3</v>
      </c>
      <c r="Q6" s="32" t="s">
        <v>10</v>
      </c>
      <c r="R6" s="23">
        <v>2</v>
      </c>
    </row>
    <row r="7" spans="1:18" s="39" customFormat="1" ht="20.25" customHeight="1" x14ac:dyDescent="0.3">
      <c r="A7" s="34">
        <v>3</v>
      </c>
      <c r="B7" s="35" t="s">
        <v>20</v>
      </c>
      <c r="C7" s="36" t="s">
        <v>21</v>
      </c>
      <c r="D7" s="37"/>
      <c r="E7" s="37" t="s">
        <v>54</v>
      </c>
      <c r="F7" s="37"/>
      <c r="G7" s="37"/>
      <c r="H7" s="37"/>
      <c r="I7" s="28">
        <f>IF(D7="x",5,IF(E7="x",4,IF(F7="x",3,IF(G7="x",2,IF(H7="x",1,"-")))))</f>
        <v>4</v>
      </c>
      <c r="J7" s="29" t="str">
        <f t="shared" si="0"/>
        <v>R</v>
      </c>
      <c r="K7" s="29">
        <f t="shared" si="1"/>
        <v>2</v>
      </c>
      <c r="L7" s="38"/>
      <c r="M7" s="38"/>
      <c r="N7" s="38"/>
      <c r="O7" s="38"/>
      <c r="P7" s="38"/>
      <c r="Q7" s="33" t="s">
        <v>9</v>
      </c>
      <c r="R7" s="38">
        <v>3</v>
      </c>
    </row>
    <row r="8" spans="1:18" ht="20.25" hidden="1" customHeight="1" x14ac:dyDescent="0.3">
      <c r="A8" s="20">
        <v>4</v>
      </c>
      <c r="B8" s="19" t="s">
        <v>1</v>
      </c>
      <c r="C8" s="21" t="s">
        <v>46</v>
      </c>
      <c r="D8" s="22"/>
      <c r="E8" s="22"/>
      <c r="F8" s="22"/>
      <c r="G8" s="22" t="s">
        <v>54</v>
      </c>
      <c r="H8" s="22"/>
      <c r="I8" s="24">
        <f>IF(D8="x",1,IF(E8="x",2,IF(F8="x",3,IF(G8="x",4,IF(H8="x",5,"-")))))</f>
        <v>4</v>
      </c>
      <c r="J8" s="25" t="str">
        <f t="shared" si="0"/>
        <v>F</v>
      </c>
      <c r="K8" s="25">
        <f t="shared" si="1"/>
        <v>4</v>
      </c>
      <c r="Q8" s="32" t="s">
        <v>8</v>
      </c>
      <c r="R8" s="23">
        <v>4</v>
      </c>
    </row>
    <row r="9" spans="1:18" s="17" customFormat="1" ht="20.25" hidden="1" customHeight="1" x14ac:dyDescent="0.3">
      <c r="A9" s="40">
        <v>5</v>
      </c>
      <c r="B9" s="35" t="s">
        <v>2</v>
      </c>
      <c r="C9" s="36" t="s">
        <v>41</v>
      </c>
      <c r="D9" s="37" t="s">
        <v>54</v>
      </c>
      <c r="E9" s="37"/>
      <c r="F9" s="37"/>
      <c r="G9" s="37"/>
      <c r="H9" s="37"/>
      <c r="I9" s="30">
        <f>IF(D9="x",5,IF(E9="x",4,IF(F9="x",3,IF(G9="x",2,IF(H9="x",1,"-")))))</f>
        <v>5</v>
      </c>
      <c r="J9" s="31" t="str">
        <f t="shared" si="0"/>
        <v>N</v>
      </c>
      <c r="K9" s="31">
        <f t="shared" si="1"/>
        <v>1</v>
      </c>
      <c r="L9" s="33"/>
      <c r="M9" s="33"/>
      <c r="N9" s="33"/>
      <c r="O9" s="33"/>
      <c r="P9" s="33"/>
      <c r="Q9" s="33" t="s">
        <v>7</v>
      </c>
      <c r="R9" s="38">
        <v>5</v>
      </c>
    </row>
    <row r="10" spans="1:18" s="39" customFormat="1" ht="20.25" customHeight="1" x14ac:dyDescent="0.3">
      <c r="A10" s="34">
        <v>6</v>
      </c>
      <c r="B10" s="35" t="s">
        <v>20</v>
      </c>
      <c r="C10" s="36" t="s">
        <v>22</v>
      </c>
      <c r="D10" s="37"/>
      <c r="E10" s="37" t="s">
        <v>54</v>
      </c>
      <c r="F10" s="37"/>
      <c r="G10" s="37"/>
      <c r="H10" s="37"/>
      <c r="I10" s="28">
        <f>IF(D10="x",5,IF(E10="x",4,IF(F10="x",3,IF(G10="x",2,IF(H10="x",1,"-")))))</f>
        <v>4</v>
      </c>
      <c r="J10" s="29" t="str">
        <f t="shared" si="0"/>
        <v>R</v>
      </c>
      <c r="K10" s="29">
        <f t="shared" si="1"/>
        <v>2</v>
      </c>
      <c r="L10" s="38"/>
      <c r="M10" s="38"/>
      <c r="N10" s="38"/>
      <c r="O10" s="38"/>
      <c r="P10" s="38"/>
      <c r="Q10" s="38"/>
      <c r="R10" s="38"/>
    </row>
    <row r="11" spans="1:18" ht="20.25" hidden="1" customHeight="1" x14ac:dyDescent="0.3">
      <c r="A11" s="20">
        <v>7</v>
      </c>
      <c r="B11" s="19" t="s">
        <v>3</v>
      </c>
      <c r="C11" s="21" t="s">
        <v>37</v>
      </c>
      <c r="D11" s="22"/>
      <c r="E11" s="22"/>
      <c r="F11" s="22" t="s">
        <v>54</v>
      </c>
      <c r="G11" s="22"/>
      <c r="H11" s="22"/>
      <c r="I11" s="24">
        <f>IF(D11="x",1,IF(E11="x",2,IF(F11="x",3,IF(G11="x",4,IF(H11="x",5,"-")))))</f>
        <v>3</v>
      </c>
      <c r="J11" s="25" t="str">
        <f t="shared" si="0"/>
        <v>A</v>
      </c>
      <c r="K11" s="25">
        <f t="shared" si="1"/>
        <v>3</v>
      </c>
      <c r="Q11" s="23"/>
      <c r="R11" s="23"/>
    </row>
    <row r="12" spans="1:18" ht="20.25" hidden="1" customHeight="1" x14ac:dyDescent="0.3">
      <c r="A12" s="20">
        <v>8</v>
      </c>
      <c r="B12" s="19" t="s">
        <v>4</v>
      </c>
      <c r="C12" s="21" t="s">
        <v>33</v>
      </c>
      <c r="D12" s="22"/>
      <c r="E12" s="22"/>
      <c r="F12" s="22"/>
      <c r="G12" s="22"/>
      <c r="H12" s="22" t="s">
        <v>54</v>
      </c>
      <c r="I12" s="24">
        <f>IF(D12="x",1,IF(E12="x",2,IF(F12="x",3,IF(G12="x",4,IF(H12="x",5,"-")))))</f>
        <v>5</v>
      </c>
      <c r="J12" s="25" t="str">
        <f t="shared" si="0"/>
        <v>S</v>
      </c>
      <c r="K12" s="25">
        <f t="shared" si="1"/>
        <v>5</v>
      </c>
      <c r="Q12" s="23"/>
      <c r="R12" s="23"/>
    </row>
    <row r="13" spans="1:18" s="39" customFormat="1" ht="20.25" customHeight="1" x14ac:dyDescent="0.3">
      <c r="A13" s="34">
        <v>9</v>
      </c>
      <c r="B13" s="35" t="s">
        <v>20</v>
      </c>
      <c r="C13" s="36" t="s">
        <v>23</v>
      </c>
      <c r="D13" s="37" t="s">
        <v>54</v>
      </c>
      <c r="E13" s="37"/>
      <c r="F13" s="37" t="s">
        <v>54</v>
      </c>
      <c r="G13" s="37"/>
      <c r="H13" s="37"/>
      <c r="I13" s="28">
        <f>IF(D13="x",5,IF(E13="x",4,IF(F13="x",3,IF(G13="x",2,IF(H13="x",1,"-")))))</f>
        <v>5</v>
      </c>
      <c r="J13" s="29" t="str">
        <f t="shared" si="0"/>
        <v>N</v>
      </c>
      <c r="K13" s="29">
        <f t="shared" si="1"/>
        <v>1</v>
      </c>
      <c r="L13" s="38"/>
      <c r="M13" s="38"/>
      <c r="N13" s="38"/>
      <c r="O13" s="38"/>
      <c r="P13" s="38"/>
      <c r="Q13" s="38"/>
      <c r="R13" s="38"/>
    </row>
    <row r="14" spans="1:18" ht="20.25" hidden="1" customHeight="1" x14ac:dyDescent="0.3">
      <c r="A14" s="20">
        <v>10</v>
      </c>
      <c r="B14" s="19" t="s">
        <v>5</v>
      </c>
      <c r="C14" s="21" t="s">
        <v>28</v>
      </c>
      <c r="D14" s="22"/>
      <c r="E14" s="22" t="s">
        <v>54</v>
      </c>
      <c r="F14" s="22"/>
      <c r="G14" s="22"/>
      <c r="H14" s="22"/>
      <c r="I14" s="24">
        <f>IF(D14="x",1,IF(E14="x",2,IF(F14="x",3,IF(G14="x",4,IF(H14="x",5,"-")))))</f>
        <v>2</v>
      </c>
      <c r="J14" s="25" t="str">
        <f t="shared" si="0"/>
        <v>R</v>
      </c>
      <c r="K14" s="25">
        <f t="shared" si="1"/>
        <v>2</v>
      </c>
      <c r="Q14" s="23"/>
      <c r="R14" s="23"/>
    </row>
    <row r="15" spans="1:18" ht="20.25" hidden="1" customHeight="1" x14ac:dyDescent="0.3">
      <c r="A15" s="20">
        <v>11</v>
      </c>
      <c r="B15" s="19" t="s">
        <v>1</v>
      </c>
      <c r="C15" s="21" t="s">
        <v>47</v>
      </c>
      <c r="D15" s="22"/>
      <c r="E15" s="22"/>
      <c r="F15" s="22"/>
      <c r="G15" s="22" t="s">
        <v>54</v>
      </c>
      <c r="H15" s="22"/>
      <c r="I15" s="24">
        <f>IF(D15="x",1,IF(E15="x",2,IF(F15="x",3,IF(G15="x",4,IF(H15="x",5,"-")))))</f>
        <v>4</v>
      </c>
      <c r="J15" s="25" t="str">
        <f t="shared" si="0"/>
        <v>F</v>
      </c>
      <c r="K15" s="25">
        <f t="shared" si="1"/>
        <v>4</v>
      </c>
      <c r="Q15" s="23"/>
      <c r="R15" s="23"/>
    </row>
    <row r="16" spans="1:18" s="39" customFormat="1" ht="20.25" customHeight="1" x14ac:dyDescent="0.3">
      <c r="A16" s="34">
        <v>12</v>
      </c>
      <c r="B16" s="35" t="s">
        <v>20</v>
      </c>
      <c r="C16" s="36" t="s">
        <v>55</v>
      </c>
      <c r="D16" s="37"/>
      <c r="E16" s="37" t="s">
        <v>54</v>
      </c>
      <c r="F16" s="37"/>
      <c r="G16" s="37"/>
      <c r="H16" s="37"/>
      <c r="I16" s="28">
        <f>IF(D16="x",5,IF(E16="x",4,IF(F16="x",3,IF(G16="x",2,IF(H16="x",1,"-")))))</f>
        <v>4</v>
      </c>
      <c r="J16" s="29" t="str">
        <f t="shared" si="0"/>
        <v>R</v>
      </c>
      <c r="K16" s="29">
        <f t="shared" si="1"/>
        <v>2</v>
      </c>
      <c r="L16" s="38"/>
      <c r="M16" s="38"/>
      <c r="N16" s="38"/>
      <c r="O16" s="38"/>
      <c r="P16" s="38"/>
      <c r="Q16" s="38"/>
      <c r="R16" s="38"/>
    </row>
    <row r="17" spans="1:18" ht="20.25" hidden="1" customHeight="1" x14ac:dyDescent="0.3">
      <c r="A17" s="20">
        <v>13</v>
      </c>
      <c r="B17" s="19" t="s">
        <v>1</v>
      </c>
      <c r="C17" s="21" t="s">
        <v>48</v>
      </c>
      <c r="D17" s="22"/>
      <c r="E17" s="22"/>
      <c r="F17" s="22"/>
      <c r="G17" s="22"/>
      <c r="H17" s="22" t="s">
        <v>54</v>
      </c>
      <c r="I17" s="24">
        <f>IF(D17="x",1,IF(E17="x",2,IF(F17="x",3,IF(G17="x",4,IF(H17="x",5,"-")))))</f>
        <v>5</v>
      </c>
      <c r="J17" s="25" t="str">
        <f t="shared" si="0"/>
        <v>S</v>
      </c>
      <c r="K17" s="25">
        <f t="shared" si="1"/>
        <v>5</v>
      </c>
      <c r="Q17" s="23"/>
      <c r="R17" s="23"/>
    </row>
    <row r="18" spans="1:18" s="17" customFormat="1" ht="20.25" hidden="1" customHeight="1" x14ac:dyDescent="0.3">
      <c r="A18" s="40">
        <v>14</v>
      </c>
      <c r="B18" s="35" t="s">
        <v>2</v>
      </c>
      <c r="C18" s="36" t="s">
        <v>42</v>
      </c>
      <c r="D18" s="37"/>
      <c r="E18" s="37" t="s">
        <v>54</v>
      </c>
      <c r="F18" s="37"/>
      <c r="G18" s="37"/>
      <c r="H18" s="37"/>
      <c r="I18" s="30">
        <f>IF(D18="x",5,IF(E18="x",4,IF(F18="x",3,IF(G18="x",2,IF(H18="x",1,"-")))))</f>
        <v>4</v>
      </c>
      <c r="J18" s="31" t="str">
        <f t="shared" si="0"/>
        <v>R</v>
      </c>
      <c r="K18" s="31">
        <f t="shared" si="1"/>
        <v>2</v>
      </c>
      <c r="L18" s="33"/>
      <c r="M18" s="33"/>
      <c r="N18" s="33"/>
      <c r="O18" s="33"/>
      <c r="P18" s="33"/>
      <c r="Q18" s="33"/>
      <c r="R18" s="33"/>
    </row>
    <row r="19" spans="1:18" ht="20.25" hidden="1" customHeight="1" x14ac:dyDescent="0.3">
      <c r="A19" s="20">
        <v>15</v>
      </c>
      <c r="B19" s="19" t="s">
        <v>5</v>
      </c>
      <c r="C19" s="21" t="s">
        <v>29</v>
      </c>
      <c r="D19" s="22"/>
      <c r="E19" s="22"/>
      <c r="F19" s="22" t="s">
        <v>54</v>
      </c>
      <c r="G19" s="22"/>
      <c r="H19" s="22"/>
      <c r="I19" s="24">
        <f>IF(D19="x",1,IF(E19="x",2,IF(F19="x",3,IF(G19="x",4,IF(H19="x",5,"-")))))</f>
        <v>3</v>
      </c>
      <c r="J19" s="25" t="str">
        <f t="shared" si="0"/>
        <v>A</v>
      </c>
      <c r="K19" s="25">
        <f t="shared" si="1"/>
        <v>3</v>
      </c>
      <c r="Q19" s="23"/>
      <c r="R19" s="23"/>
    </row>
    <row r="20" spans="1:18" s="39" customFormat="1" ht="20.25" customHeight="1" x14ac:dyDescent="0.3">
      <c r="A20" s="34">
        <v>16</v>
      </c>
      <c r="B20" s="35" t="s">
        <v>20</v>
      </c>
      <c r="C20" s="36" t="s">
        <v>24</v>
      </c>
      <c r="D20" s="37" t="s">
        <v>54</v>
      </c>
      <c r="E20" s="37"/>
      <c r="F20" s="37"/>
      <c r="G20" s="37"/>
      <c r="H20" s="37"/>
      <c r="I20" s="28">
        <f>IF(D20="x",5,IF(E20="x",4,IF(F20="x",3,IF(G20="x",2,IF(H20="x",1,"-")))))</f>
        <v>5</v>
      </c>
      <c r="J20" s="29" t="str">
        <f t="shared" si="0"/>
        <v>N</v>
      </c>
      <c r="K20" s="29">
        <f t="shared" si="1"/>
        <v>1</v>
      </c>
      <c r="L20" s="38"/>
      <c r="M20" s="38"/>
      <c r="N20" s="38"/>
      <c r="O20" s="38"/>
      <c r="P20" s="38"/>
      <c r="Q20" s="38"/>
      <c r="R20" s="38"/>
    </row>
    <row r="21" spans="1:18" ht="20.25" hidden="1" customHeight="1" x14ac:dyDescent="0.3">
      <c r="A21" s="20">
        <v>17</v>
      </c>
      <c r="B21" s="19" t="s">
        <v>1</v>
      </c>
      <c r="C21" s="21" t="s">
        <v>49</v>
      </c>
      <c r="D21" s="22"/>
      <c r="E21" s="22"/>
      <c r="F21" s="22"/>
      <c r="G21" s="22" t="s">
        <v>54</v>
      </c>
      <c r="H21" s="22"/>
      <c r="I21" s="24">
        <f>IF(D21="x",1,IF(E21="x",2,IF(F21="x",3,IF(G21="x",4,IF(H21="x",5,"-")))))</f>
        <v>4</v>
      </c>
      <c r="J21" s="25" t="str">
        <f t="shared" si="0"/>
        <v>F</v>
      </c>
      <c r="K21" s="25">
        <f t="shared" si="1"/>
        <v>4</v>
      </c>
      <c r="Q21" s="23"/>
      <c r="R21" s="23"/>
    </row>
    <row r="22" spans="1:18" s="39" customFormat="1" ht="20.25" customHeight="1" x14ac:dyDescent="0.3">
      <c r="A22" s="34">
        <v>18</v>
      </c>
      <c r="B22" s="35" t="s">
        <v>20</v>
      </c>
      <c r="C22" s="36" t="s">
        <v>25</v>
      </c>
      <c r="D22" s="37" t="s">
        <v>54</v>
      </c>
      <c r="E22" s="37"/>
      <c r="F22" s="37"/>
      <c r="G22" s="37"/>
      <c r="H22" s="37"/>
      <c r="I22" s="28">
        <f>IF(D22="x",5,IF(E22="x",4,IF(F22="x",3,IF(G22="x",2,IF(H22="x",1,"-")))))</f>
        <v>5</v>
      </c>
      <c r="J22" s="29" t="str">
        <f t="shared" si="0"/>
        <v>N</v>
      </c>
      <c r="K22" s="29">
        <f t="shared" si="1"/>
        <v>1</v>
      </c>
      <c r="L22" s="38"/>
      <c r="M22" s="38"/>
      <c r="N22" s="38"/>
      <c r="O22" s="38"/>
      <c r="P22" s="38"/>
      <c r="Q22" s="38"/>
      <c r="R22" s="38"/>
    </row>
    <row r="23" spans="1:18" ht="20.25" hidden="1" customHeight="1" x14ac:dyDescent="0.3">
      <c r="A23" s="20">
        <v>19</v>
      </c>
      <c r="B23" s="19" t="s">
        <v>5</v>
      </c>
      <c r="C23" s="21" t="s">
        <v>30</v>
      </c>
      <c r="D23" s="22" t="s">
        <v>54</v>
      </c>
      <c r="E23" s="22"/>
      <c r="F23" s="22"/>
      <c r="G23" s="22"/>
      <c r="H23" s="22"/>
      <c r="I23" s="24">
        <f>IF(D23="x",1,IF(E23="x",2,IF(F23="x",3,IF(G23="x",4,IF(H23="x",5,"-")))))</f>
        <v>1</v>
      </c>
      <c r="J23" s="25" t="str">
        <f t="shared" si="0"/>
        <v>N</v>
      </c>
      <c r="K23" s="25">
        <f t="shared" si="1"/>
        <v>1</v>
      </c>
      <c r="Q23" s="23"/>
      <c r="R23" s="23"/>
    </row>
    <row r="24" spans="1:18" s="39" customFormat="1" ht="20.25" customHeight="1" x14ac:dyDescent="0.3">
      <c r="A24" s="34">
        <v>20</v>
      </c>
      <c r="B24" s="35" t="s">
        <v>20</v>
      </c>
      <c r="C24" s="36" t="s">
        <v>26</v>
      </c>
      <c r="D24" s="37"/>
      <c r="E24" s="37" t="s">
        <v>54</v>
      </c>
      <c r="F24" s="37"/>
      <c r="G24" s="37"/>
      <c r="H24" s="37"/>
      <c r="I24" s="28">
        <f>IF(D24="x",5,IF(E24="x",4,IF(F24="x",3,IF(G24="x",2,IF(H24="x",1,"-")))))</f>
        <v>4</v>
      </c>
      <c r="J24" s="29" t="str">
        <f t="shared" si="0"/>
        <v>R</v>
      </c>
      <c r="K24" s="29">
        <f t="shared" si="1"/>
        <v>2</v>
      </c>
      <c r="L24" s="38"/>
      <c r="M24" s="38"/>
      <c r="N24" s="38"/>
      <c r="O24" s="38"/>
      <c r="P24" s="38"/>
      <c r="Q24" s="38"/>
      <c r="R24" s="38"/>
    </row>
    <row r="25" spans="1:18" s="17" customFormat="1" ht="20.25" hidden="1" customHeight="1" x14ac:dyDescent="0.3">
      <c r="A25" s="40">
        <v>21</v>
      </c>
      <c r="B25" s="35" t="s">
        <v>2</v>
      </c>
      <c r="C25" s="36" t="s">
        <v>43</v>
      </c>
      <c r="D25" s="37" t="s">
        <v>54</v>
      </c>
      <c r="E25" s="37"/>
      <c r="F25" s="37"/>
      <c r="G25" s="37"/>
      <c r="H25" s="37"/>
      <c r="I25" s="30">
        <f>IF(D25="x",5,IF(E25="x",4,IF(F25="x",3,IF(G25="x",2,IF(H25="x",1,"-")))))</f>
        <v>5</v>
      </c>
      <c r="J25" s="31" t="str">
        <f t="shared" si="0"/>
        <v>N</v>
      </c>
      <c r="K25" s="31">
        <f t="shared" si="1"/>
        <v>1</v>
      </c>
      <c r="L25" s="33"/>
      <c r="M25" s="33"/>
      <c r="N25" s="33"/>
      <c r="O25" s="33"/>
      <c r="P25" s="33"/>
      <c r="Q25" s="33"/>
      <c r="R25" s="33"/>
    </row>
    <row r="26" spans="1:18" s="39" customFormat="1" ht="20.25" customHeight="1" x14ac:dyDescent="0.3">
      <c r="A26" s="34">
        <v>22</v>
      </c>
      <c r="B26" s="35" t="s">
        <v>20</v>
      </c>
      <c r="C26" s="36" t="s">
        <v>27</v>
      </c>
      <c r="D26" s="37" t="s">
        <v>54</v>
      </c>
      <c r="E26" s="37"/>
      <c r="F26" s="37"/>
      <c r="G26" s="37"/>
      <c r="H26" s="37"/>
      <c r="I26" s="28">
        <f>IF(D26="x",5,IF(E26="x",4,IF(F26="x",3,IF(G26="x",2,IF(H26="x",1,"-")))))</f>
        <v>5</v>
      </c>
      <c r="J26" s="29" t="str">
        <f t="shared" si="0"/>
        <v>N</v>
      </c>
      <c r="K26" s="29">
        <f t="shared" si="1"/>
        <v>1</v>
      </c>
      <c r="L26" s="38"/>
      <c r="M26" s="38"/>
      <c r="N26" s="38"/>
      <c r="O26" s="38"/>
      <c r="P26" s="38"/>
      <c r="Q26" s="38"/>
      <c r="R26" s="38"/>
    </row>
    <row r="27" spans="1:18" ht="20.25" hidden="1" customHeight="1" x14ac:dyDescent="0.3">
      <c r="A27" s="20">
        <v>23</v>
      </c>
      <c r="B27" s="19" t="s">
        <v>4</v>
      </c>
      <c r="C27" s="21" t="s">
        <v>34</v>
      </c>
      <c r="D27" s="22"/>
      <c r="E27" s="22"/>
      <c r="F27" s="22"/>
      <c r="G27" s="22" t="s">
        <v>54</v>
      </c>
      <c r="H27" s="22"/>
      <c r="I27" s="24">
        <f t="shared" ref="I27:I37" si="2">IF(D27="x",1,IF(E27="x",2,IF(F27="x",3,IF(G27="x",4,IF(H27="x",5,"-")))))</f>
        <v>4</v>
      </c>
      <c r="J27" s="25" t="str">
        <f t="shared" si="0"/>
        <v>F</v>
      </c>
      <c r="K27" s="25">
        <f t="shared" si="1"/>
        <v>4</v>
      </c>
      <c r="Q27" s="23"/>
      <c r="R27" s="23"/>
    </row>
    <row r="28" spans="1:18" ht="20.25" hidden="1" customHeight="1" x14ac:dyDescent="0.3">
      <c r="A28" s="20">
        <v>24</v>
      </c>
      <c r="B28" s="19" t="s">
        <v>3</v>
      </c>
      <c r="C28" s="21" t="s">
        <v>38</v>
      </c>
      <c r="D28" s="22"/>
      <c r="E28" s="22"/>
      <c r="F28" s="22"/>
      <c r="G28" s="22"/>
      <c r="H28" s="22" t="s">
        <v>54</v>
      </c>
      <c r="I28" s="24">
        <f t="shared" si="2"/>
        <v>5</v>
      </c>
      <c r="J28" s="25" t="str">
        <f t="shared" si="0"/>
        <v>S</v>
      </c>
      <c r="K28" s="25">
        <f t="shared" si="1"/>
        <v>5</v>
      </c>
      <c r="Q28" s="23"/>
      <c r="R28" s="23"/>
    </row>
    <row r="29" spans="1:18" ht="20.25" hidden="1" customHeight="1" x14ac:dyDescent="0.3">
      <c r="A29" s="20">
        <v>25</v>
      </c>
      <c r="B29" s="19" t="s">
        <v>5</v>
      </c>
      <c r="C29" s="21" t="s">
        <v>31</v>
      </c>
      <c r="D29" s="22"/>
      <c r="E29" s="22"/>
      <c r="F29" s="22" t="s">
        <v>54</v>
      </c>
      <c r="G29" s="22"/>
      <c r="H29" s="22"/>
      <c r="I29" s="24">
        <f t="shared" si="2"/>
        <v>3</v>
      </c>
      <c r="J29" s="25" t="str">
        <f t="shared" si="0"/>
        <v>A</v>
      </c>
      <c r="K29" s="25">
        <f t="shared" si="1"/>
        <v>3</v>
      </c>
      <c r="Q29" s="23"/>
      <c r="R29" s="23"/>
    </row>
    <row r="30" spans="1:18" ht="20.25" hidden="1" customHeight="1" x14ac:dyDescent="0.3">
      <c r="A30" s="20">
        <v>26</v>
      </c>
      <c r="B30" s="19" t="s">
        <v>0</v>
      </c>
      <c r="C30" s="21" t="s">
        <v>50</v>
      </c>
      <c r="D30" s="22"/>
      <c r="E30" s="22"/>
      <c r="F30" s="22"/>
      <c r="G30" s="22"/>
      <c r="H30" s="22" t="s">
        <v>54</v>
      </c>
      <c r="I30" s="24">
        <f t="shared" si="2"/>
        <v>5</v>
      </c>
      <c r="J30" s="25" t="str">
        <f t="shared" si="0"/>
        <v>S</v>
      </c>
      <c r="K30" s="25">
        <f t="shared" si="1"/>
        <v>5</v>
      </c>
      <c r="Q30" s="23"/>
      <c r="R30" s="23"/>
    </row>
    <row r="31" spans="1:18" ht="20.25" hidden="1" customHeight="1" x14ac:dyDescent="0.3">
      <c r="A31" s="20">
        <v>27</v>
      </c>
      <c r="B31" s="19" t="s">
        <v>3</v>
      </c>
      <c r="C31" s="21" t="s">
        <v>39</v>
      </c>
      <c r="D31" s="22"/>
      <c r="E31" s="22"/>
      <c r="F31" s="22"/>
      <c r="G31" s="22"/>
      <c r="H31" s="22" t="s">
        <v>54</v>
      </c>
      <c r="I31" s="24">
        <f t="shared" si="2"/>
        <v>5</v>
      </c>
      <c r="J31" s="25" t="str">
        <f t="shared" si="0"/>
        <v>S</v>
      </c>
      <c r="K31" s="25">
        <f t="shared" si="1"/>
        <v>5</v>
      </c>
      <c r="Q31" s="23"/>
      <c r="R31" s="23"/>
    </row>
    <row r="32" spans="1:18" ht="20.25" hidden="1" customHeight="1" x14ac:dyDescent="0.3">
      <c r="A32" s="20">
        <v>28</v>
      </c>
      <c r="B32" s="19" t="s">
        <v>0</v>
      </c>
      <c r="C32" s="21" t="s">
        <v>51</v>
      </c>
      <c r="D32" s="22"/>
      <c r="E32" s="22"/>
      <c r="F32" s="22" t="s">
        <v>54</v>
      </c>
      <c r="G32" s="22"/>
      <c r="H32" s="22"/>
      <c r="I32" s="24">
        <f t="shared" si="2"/>
        <v>3</v>
      </c>
      <c r="J32" s="25" t="str">
        <f t="shared" si="0"/>
        <v>A</v>
      </c>
      <c r="K32" s="25">
        <f t="shared" si="1"/>
        <v>3</v>
      </c>
      <c r="Q32" s="23"/>
      <c r="R32" s="23"/>
    </row>
    <row r="33" spans="1:18" ht="20.25" hidden="1" customHeight="1" x14ac:dyDescent="0.3">
      <c r="A33" s="20">
        <v>29</v>
      </c>
      <c r="B33" s="19" t="s">
        <v>4</v>
      </c>
      <c r="C33" s="21" t="s">
        <v>56</v>
      </c>
      <c r="D33" s="22"/>
      <c r="E33" s="22" t="s">
        <v>54</v>
      </c>
      <c r="F33" s="22"/>
      <c r="G33" s="22"/>
      <c r="H33" s="22"/>
      <c r="I33" s="24">
        <f t="shared" si="2"/>
        <v>2</v>
      </c>
      <c r="J33" s="25" t="str">
        <f t="shared" si="0"/>
        <v>R</v>
      </c>
      <c r="K33" s="25">
        <f t="shared" si="1"/>
        <v>2</v>
      </c>
      <c r="Q33" s="23"/>
      <c r="R33" s="23"/>
    </row>
    <row r="34" spans="1:18" ht="20.25" hidden="1" customHeight="1" x14ac:dyDescent="0.3">
      <c r="A34" s="20">
        <v>30</v>
      </c>
      <c r="B34" s="19" t="s">
        <v>5</v>
      </c>
      <c r="C34" s="21" t="s">
        <v>32</v>
      </c>
      <c r="D34" s="22" t="s">
        <v>54</v>
      </c>
      <c r="E34" s="22"/>
      <c r="F34" s="22"/>
      <c r="G34" s="22"/>
      <c r="H34" s="22"/>
      <c r="I34" s="24">
        <f t="shared" si="2"/>
        <v>1</v>
      </c>
      <c r="J34" s="25" t="str">
        <f t="shared" si="0"/>
        <v>N</v>
      </c>
      <c r="K34" s="25">
        <f t="shared" si="1"/>
        <v>1</v>
      </c>
      <c r="Q34" s="23"/>
      <c r="R34" s="23"/>
    </row>
    <row r="35" spans="1:18" ht="20.25" hidden="1" customHeight="1" x14ac:dyDescent="0.3">
      <c r="A35" s="20">
        <v>31</v>
      </c>
      <c r="B35" s="19" t="s">
        <v>3</v>
      </c>
      <c r="C35" s="21" t="s">
        <v>40</v>
      </c>
      <c r="D35" s="22"/>
      <c r="E35" s="22"/>
      <c r="F35" s="22"/>
      <c r="G35" s="22"/>
      <c r="H35" s="22" t="s">
        <v>54</v>
      </c>
      <c r="I35" s="24">
        <f t="shared" si="2"/>
        <v>5</v>
      </c>
      <c r="J35" s="25" t="str">
        <f t="shared" si="0"/>
        <v>S</v>
      </c>
      <c r="K35" s="25">
        <f t="shared" si="1"/>
        <v>5</v>
      </c>
      <c r="Q35" s="23"/>
      <c r="R35" s="23"/>
    </row>
    <row r="36" spans="1:18" ht="20.25" hidden="1" customHeight="1" x14ac:dyDescent="0.3">
      <c r="A36" s="20">
        <v>32</v>
      </c>
      <c r="B36" s="19" t="s">
        <v>0</v>
      </c>
      <c r="C36" s="21" t="s">
        <v>52</v>
      </c>
      <c r="D36" s="22"/>
      <c r="E36" s="22" t="s">
        <v>54</v>
      </c>
      <c r="F36" s="22"/>
      <c r="G36" s="22"/>
      <c r="H36" s="22"/>
      <c r="I36" s="24">
        <f t="shared" si="2"/>
        <v>2</v>
      </c>
      <c r="J36" s="25" t="str">
        <f t="shared" si="0"/>
        <v>R</v>
      </c>
      <c r="K36" s="25">
        <f t="shared" si="1"/>
        <v>2</v>
      </c>
      <c r="Q36" s="23"/>
      <c r="R36" s="23"/>
    </row>
    <row r="37" spans="1:18" ht="20.25" hidden="1" customHeight="1" x14ac:dyDescent="0.3">
      <c r="A37" s="20">
        <v>33</v>
      </c>
      <c r="B37" s="19" t="s">
        <v>4</v>
      </c>
      <c r="C37" s="21" t="s">
        <v>35</v>
      </c>
      <c r="D37" s="22"/>
      <c r="E37" s="22"/>
      <c r="F37" s="22" t="s">
        <v>54</v>
      </c>
      <c r="G37" s="22"/>
      <c r="H37" s="22"/>
      <c r="I37" s="24">
        <f t="shared" si="2"/>
        <v>3</v>
      </c>
      <c r="J37" s="25" t="str">
        <f t="shared" si="0"/>
        <v>A</v>
      </c>
      <c r="K37" s="25">
        <f t="shared" si="1"/>
        <v>3</v>
      </c>
      <c r="Q37" s="23"/>
      <c r="R37" s="23"/>
    </row>
    <row r="38" spans="1:18" s="17" customFormat="1" ht="20.25" hidden="1" customHeight="1" x14ac:dyDescent="0.3">
      <c r="A38" s="40">
        <v>34</v>
      </c>
      <c r="B38" s="35" t="s">
        <v>2</v>
      </c>
      <c r="C38" s="36" t="s">
        <v>44</v>
      </c>
      <c r="D38" s="37" t="s">
        <v>54</v>
      </c>
      <c r="E38" s="37"/>
      <c r="F38" s="37"/>
      <c r="G38" s="37"/>
      <c r="H38" s="37"/>
      <c r="I38" s="30">
        <f>IF(D38="x",5,IF(E38="x",4,IF(F38="x",3,IF(G38="x",2,IF(H38="x",1,"-")))))</f>
        <v>5</v>
      </c>
      <c r="J38" s="31" t="str">
        <f t="shared" si="0"/>
        <v>N</v>
      </c>
      <c r="K38" s="31">
        <f t="shared" si="1"/>
        <v>1</v>
      </c>
      <c r="L38" s="33"/>
      <c r="M38" s="33"/>
      <c r="N38" s="33"/>
      <c r="O38" s="33"/>
      <c r="P38" s="33"/>
      <c r="Q38" s="33"/>
      <c r="R38" s="33"/>
    </row>
    <row r="39" spans="1:18" ht="20.25" hidden="1" customHeight="1" x14ac:dyDescent="0.3">
      <c r="A39" s="20">
        <v>35</v>
      </c>
      <c r="B39" s="19" t="s">
        <v>4</v>
      </c>
      <c r="C39" s="21" t="s">
        <v>36</v>
      </c>
      <c r="D39" s="22"/>
      <c r="E39" s="22"/>
      <c r="F39" s="22"/>
      <c r="G39" s="22"/>
      <c r="H39" s="22" t="s">
        <v>54</v>
      </c>
      <c r="I39" s="24">
        <f>IF(D39="x",1,IF(E39="x",2,IF(F39="x",3,IF(G39="x",4,IF(H39="x",5,"-")))))</f>
        <v>5</v>
      </c>
      <c r="J39" s="25" t="str">
        <f t="shared" si="0"/>
        <v>S</v>
      </c>
      <c r="K39" s="25">
        <f t="shared" si="1"/>
        <v>5</v>
      </c>
      <c r="Q39" s="23"/>
      <c r="R39" s="23"/>
    </row>
    <row r="40" spans="1:18" ht="15" x14ac:dyDescent="0.3">
      <c r="I40" s="26"/>
    </row>
    <row r="41" spans="1:18" ht="15.6" x14ac:dyDescent="0.3">
      <c r="A41" s="1"/>
      <c r="B41" s="15"/>
      <c r="C41" s="3"/>
      <c r="D41" s="2"/>
      <c r="E41" s="2"/>
      <c r="F41" s="2"/>
      <c r="G41" s="2"/>
      <c r="H41" s="2"/>
      <c r="I41" s="26"/>
    </row>
    <row r="42" spans="1:18" ht="15.6" x14ac:dyDescent="0.3">
      <c r="A42" s="1"/>
      <c r="B42" s="15"/>
      <c r="C42" s="5"/>
      <c r="D42" s="4"/>
      <c r="E42" s="4"/>
      <c r="F42" s="2"/>
      <c r="G42" s="2"/>
      <c r="H42" s="2"/>
      <c r="I42" s="26"/>
    </row>
    <row r="43" spans="1:18" ht="15.6" x14ac:dyDescent="0.3">
      <c r="A43" s="1"/>
      <c r="B43" s="15"/>
      <c r="C43" s="5"/>
      <c r="D43" s="4"/>
      <c r="E43" s="4"/>
      <c r="F43" s="2"/>
      <c r="G43" s="2"/>
      <c r="H43" s="2"/>
      <c r="I43" s="26"/>
    </row>
    <row r="44" spans="1:18" ht="15.6" x14ac:dyDescent="0.3">
      <c r="A44" s="1"/>
      <c r="B44" s="15"/>
      <c r="C44" s="8"/>
      <c r="D44" s="4"/>
      <c r="E44" s="4"/>
      <c r="F44" s="2"/>
      <c r="G44" s="2"/>
      <c r="H44" s="2"/>
      <c r="I44" s="26"/>
    </row>
    <row r="45" spans="1:18" ht="15.6" x14ac:dyDescent="0.3">
      <c r="A45" s="7"/>
      <c r="B45" s="15"/>
      <c r="C45" s="5" t="s">
        <v>6</v>
      </c>
      <c r="D45" s="4">
        <f>(I7+I10+I13+I16+I20+I22+I24+I26)/8</f>
        <v>4.5</v>
      </c>
      <c r="E45" s="6"/>
      <c r="F45" s="2"/>
      <c r="G45" s="2"/>
      <c r="H45" s="2"/>
      <c r="I45" s="26"/>
    </row>
    <row r="46" spans="1:18" ht="15.6" x14ac:dyDescent="0.3">
      <c r="A46" s="7"/>
      <c r="B46" s="15"/>
      <c r="C46" s="5" t="s">
        <v>5</v>
      </c>
      <c r="D46" s="4">
        <f>(I6+I14+I19+I23+I29+I34)/6</f>
        <v>2.1666666666666665</v>
      </c>
      <c r="E46" s="6"/>
      <c r="F46" s="2"/>
      <c r="G46" s="2"/>
      <c r="H46" s="2"/>
      <c r="I46" s="26"/>
    </row>
    <row r="47" spans="1:18" ht="15.6" x14ac:dyDescent="0.3">
      <c r="A47" s="7"/>
      <c r="B47" s="15"/>
      <c r="C47" s="5" t="s">
        <v>4</v>
      </c>
      <c r="D47" s="4">
        <f>(I12+I27+I33+I37+I39)/5</f>
        <v>3.8</v>
      </c>
      <c r="E47" s="6"/>
      <c r="F47" s="2"/>
      <c r="G47" s="2"/>
      <c r="H47" s="2"/>
      <c r="I47" s="26"/>
    </row>
    <row r="48" spans="1:18" ht="15.6" x14ac:dyDescent="0.3">
      <c r="A48" s="7"/>
      <c r="B48" s="15"/>
      <c r="C48" s="5" t="s">
        <v>3</v>
      </c>
      <c r="D48" s="4">
        <f>(I11+I28+I31+I35)/4</f>
        <v>4.5</v>
      </c>
      <c r="E48" s="6"/>
      <c r="F48" s="2"/>
      <c r="G48" s="2"/>
      <c r="H48" s="2"/>
      <c r="I48" s="26"/>
    </row>
    <row r="49" spans="1:9" ht="15.6" x14ac:dyDescent="0.3">
      <c r="A49" s="7"/>
      <c r="B49" s="15"/>
      <c r="C49" s="5" t="s">
        <v>2</v>
      </c>
      <c r="D49" s="4">
        <f>(I9+I18+I25+I38)/4</f>
        <v>4.75</v>
      </c>
      <c r="E49" s="6"/>
      <c r="F49" s="2"/>
      <c r="G49" s="2"/>
      <c r="H49" s="2"/>
      <c r="I49" s="26"/>
    </row>
    <row r="50" spans="1:9" ht="15.6" x14ac:dyDescent="0.3">
      <c r="A50" s="7"/>
      <c r="B50" s="15"/>
      <c r="C50" s="5" t="s">
        <v>1</v>
      </c>
      <c r="D50" s="4">
        <f>(I5+I8+I15+I17+I21)/5</f>
        <v>4.2</v>
      </c>
      <c r="E50" s="6"/>
      <c r="F50" s="2"/>
      <c r="G50" s="2"/>
      <c r="H50" s="2"/>
      <c r="I50" s="26"/>
    </row>
    <row r="51" spans="1:9" ht="15.6" x14ac:dyDescent="0.3">
      <c r="A51" s="7"/>
      <c r="B51" s="15"/>
      <c r="C51" s="5" t="s">
        <v>0</v>
      </c>
      <c r="D51" s="4">
        <f>(I30+I32+I36)/3</f>
        <v>3.3333333333333335</v>
      </c>
      <c r="E51" s="6"/>
      <c r="F51" s="2"/>
      <c r="G51" s="2"/>
      <c r="H51" s="2"/>
      <c r="I51" s="26"/>
    </row>
    <row r="52" spans="1:9" ht="15.6" x14ac:dyDescent="0.3">
      <c r="A52" s="1"/>
      <c r="B52" s="15"/>
      <c r="C52" s="5"/>
      <c r="D52" s="4"/>
      <c r="E52" s="4"/>
      <c r="F52" s="2"/>
      <c r="G52" s="2"/>
      <c r="H52" s="2"/>
      <c r="I52" s="26"/>
    </row>
    <row r="53" spans="1:9" ht="15.6" x14ac:dyDescent="0.3">
      <c r="A53" s="1"/>
      <c r="B53" s="15"/>
      <c r="C53" s="5"/>
      <c r="D53" s="4"/>
      <c r="E53" s="4"/>
      <c r="F53" s="2"/>
      <c r="G53" s="2"/>
      <c r="H53" s="2"/>
      <c r="I53" s="26"/>
    </row>
    <row r="54" spans="1:9" ht="15.6" x14ac:dyDescent="0.3">
      <c r="A54" s="1"/>
      <c r="B54" s="15"/>
      <c r="C54" s="3"/>
      <c r="D54" s="2"/>
      <c r="E54" s="2"/>
      <c r="F54" s="2"/>
      <c r="G54" s="2"/>
      <c r="H54" s="2"/>
      <c r="I54" s="26"/>
    </row>
    <row r="55" spans="1:9" ht="15.6" x14ac:dyDescent="0.3">
      <c r="A55" s="1"/>
      <c r="B55" s="15"/>
      <c r="C55" s="3"/>
      <c r="D55" s="2"/>
      <c r="E55" s="2"/>
      <c r="F55" s="2"/>
      <c r="G55" s="2"/>
      <c r="H55" s="2"/>
      <c r="I55" s="26"/>
    </row>
    <row r="56" spans="1:9" ht="15.6" x14ac:dyDescent="0.3">
      <c r="A56" s="1"/>
      <c r="B56" s="15"/>
      <c r="C56" s="3"/>
      <c r="D56" s="2"/>
      <c r="E56" s="2"/>
      <c r="F56" s="2"/>
      <c r="G56" s="2"/>
      <c r="H56" s="2"/>
      <c r="I56" s="26"/>
    </row>
    <row r="57" spans="1:9" ht="15.6" x14ac:dyDescent="0.3">
      <c r="A57" s="1"/>
      <c r="B57" s="15"/>
      <c r="C57" s="3"/>
      <c r="D57" s="2"/>
      <c r="E57" s="2"/>
      <c r="F57" s="2"/>
      <c r="G57" s="2"/>
      <c r="H57" s="2"/>
      <c r="I57" s="26"/>
    </row>
    <row r="58" spans="1:9" ht="15.6" x14ac:dyDescent="0.3">
      <c r="A58" s="1"/>
      <c r="B58" s="15"/>
      <c r="C58" s="3"/>
      <c r="D58" s="2"/>
      <c r="E58" s="2"/>
      <c r="F58" s="2"/>
      <c r="G58" s="2"/>
      <c r="H58" s="2"/>
      <c r="I58" s="26"/>
    </row>
    <row r="59" spans="1:9" ht="15.6" x14ac:dyDescent="0.3">
      <c r="A59" s="1"/>
      <c r="B59" s="15"/>
      <c r="C59" s="3"/>
      <c r="D59" s="2"/>
      <c r="E59" s="2"/>
      <c r="F59" s="2"/>
      <c r="G59" s="2"/>
      <c r="H59" s="2"/>
      <c r="I59" s="26"/>
    </row>
    <row r="60" spans="1:9" ht="15.6" x14ac:dyDescent="0.3">
      <c r="A60" s="1"/>
      <c r="B60" s="15"/>
      <c r="C60" s="3"/>
      <c r="D60" s="2"/>
      <c r="E60" s="2"/>
      <c r="F60" s="2"/>
      <c r="G60" s="2"/>
      <c r="H60" s="2"/>
      <c r="I60" s="26"/>
    </row>
    <row r="61" spans="1:9" ht="15.6" x14ac:dyDescent="0.3">
      <c r="A61" s="1"/>
      <c r="B61" s="15"/>
      <c r="C61" s="3"/>
      <c r="D61" s="2"/>
      <c r="E61" s="2"/>
      <c r="F61" s="2"/>
      <c r="G61" s="2"/>
      <c r="H61" s="2"/>
      <c r="I61" s="26"/>
    </row>
    <row r="62" spans="1:9" ht="15.6" x14ac:dyDescent="0.3">
      <c r="A62" s="1"/>
      <c r="B62" s="15"/>
      <c r="C62" s="3"/>
      <c r="D62" s="2"/>
      <c r="E62" s="2"/>
      <c r="F62" s="2"/>
      <c r="G62" s="2"/>
      <c r="H62" s="2"/>
      <c r="I62" s="26"/>
    </row>
    <row r="63" spans="1:9" ht="15.6" x14ac:dyDescent="0.3">
      <c r="A63" s="1"/>
      <c r="B63" s="15"/>
      <c r="C63" s="3"/>
      <c r="D63" s="2"/>
      <c r="E63" s="2"/>
      <c r="F63" s="2"/>
      <c r="G63" s="2"/>
      <c r="H63" s="2"/>
      <c r="I63" s="26"/>
    </row>
    <row r="64" spans="1:9" ht="15.6" x14ac:dyDescent="0.3">
      <c r="A64" s="1"/>
      <c r="B64" s="15"/>
      <c r="C64" s="3"/>
      <c r="D64" s="2"/>
      <c r="E64" s="2"/>
      <c r="F64" s="2"/>
      <c r="G64" s="2"/>
      <c r="H64" s="2"/>
      <c r="I64" s="26"/>
    </row>
    <row r="65" spans="1:9" ht="15.6" x14ac:dyDescent="0.3">
      <c r="A65" s="1"/>
      <c r="B65" s="15"/>
      <c r="C65" s="3"/>
      <c r="D65" s="2"/>
      <c r="E65" s="2"/>
      <c r="F65" s="2"/>
      <c r="G65" s="2"/>
      <c r="H65" s="2"/>
      <c r="I65" s="26"/>
    </row>
    <row r="66" spans="1:9" ht="15.6" x14ac:dyDescent="0.3">
      <c r="A66" s="1"/>
      <c r="B66" s="15"/>
      <c r="C66" s="3"/>
      <c r="D66" s="2"/>
      <c r="E66" s="2"/>
      <c r="F66" s="2"/>
      <c r="G66" s="2"/>
      <c r="H66" s="2"/>
      <c r="I66" s="26"/>
    </row>
  </sheetData>
  <autoFilter ref="A4:H39" xr:uid="{0DAFD320-4E8A-4AAB-90BF-4F668E31FE99}">
    <filterColumn colId="1">
      <filters>
        <filter val="Demanda"/>
      </filters>
    </filterColumn>
  </autoFilter>
  <mergeCells count="7">
    <mergeCell ref="R1:R4"/>
    <mergeCell ref="K1:K4"/>
    <mergeCell ref="A1:H1"/>
    <mergeCell ref="A3:H3"/>
    <mergeCell ref="I1:I4"/>
    <mergeCell ref="Q1:Q4"/>
    <mergeCell ref="J1:J4"/>
  </mergeCells>
  <pageMargins left="0.511811024" right="0.511811024" top="0.78740157499999996" bottom="0.78740157499999996" header="0.31496062000000002" footer="0.31496062000000002"/>
  <pageSetup paperSize="9" scale="58" orientation="portrait" r:id="rId1"/>
  <rowBreaks count="1" manualBreakCount="1">
    <brk id="60" max="6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3601-D50A-480F-B4D0-D6CF7A578C07}">
  <dimension ref="A1:B50"/>
  <sheetViews>
    <sheetView topLeftCell="A6" zoomScaleNormal="100" workbookViewId="0">
      <selection activeCell="B1" sqref="B1:B1048576"/>
    </sheetView>
  </sheetViews>
  <sheetFormatPr defaultRowHeight="14.4" x14ac:dyDescent="0.3"/>
  <cols>
    <col min="1" max="1" width="119.44140625" bestFit="1" customWidth="1"/>
    <col min="2" max="2" width="113.21875" bestFit="1" customWidth="1"/>
  </cols>
  <sheetData>
    <row r="1" spans="1:2" ht="19.8" x14ac:dyDescent="0.3">
      <c r="A1" s="41" t="s">
        <v>65</v>
      </c>
    </row>
    <row r="2" spans="1:2" x14ac:dyDescent="0.3">
      <c r="A2" s="66" t="s">
        <v>107</v>
      </c>
      <c r="B2" s="68" t="s">
        <v>108</v>
      </c>
    </row>
    <row r="3" spans="1:2" ht="15.6" x14ac:dyDescent="0.3">
      <c r="A3" s="65" t="s">
        <v>6</v>
      </c>
      <c r="B3" s="65" t="s">
        <v>6</v>
      </c>
    </row>
    <row r="4" spans="1:2" ht="15.6" x14ac:dyDescent="0.3">
      <c r="A4" s="42" t="s">
        <v>21</v>
      </c>
      <c r="B4" s="42" t="s">
        <v>109</v>
      </c>
    </row>
    <row r="5" spans="1:2" ht="15.6" x14ac:dyDescent="0.3">
      <c r="A5" s="42" t="s">
        <v>22</v>
      </c>
      <c r="B5" s="42" t="s">
        <v>110</v>
      </c>
    </row>
    <row r="6" spans="1:2" ht="15.6" x14ac:dyDescent="0.3">
      <c r="A6" s="42" t="s">
        <v>23</v>
      </c>
      <c r="B6" s="42" t="s">
        <v>23</v>
      </c>
    </row>
    <row r="7" spans="1:2" ht="15.6" x14ac:dyDescent="0.3">
      <c r="A7" s="42" t="s">
        <v>55</v>
      </c>
      <c r="B7" s="42" t="s">
        <v>111</v>
      </c>
    </row>
    <row r="8" spans="1:2" ht="15.6" x14ac:dyDescent="0.3">
      <c r="A8" s="42" t="s">
        <v>24</v>
      </c>
      <c r="B8" s="42" t="s">
        <v>112</v>
      </c>
    </row>
    <row r="9" spans="1:2" ht="15.6" x14ac:dyDescent="0.3">
      <c r="A9" s="42" t="s">
        <v>25</v>
      </c>
      <c r="B9" s="42" t="s">
        <v>113</v>
      </c>
    </row>
    <row r="10" spans="1:2" ht="15.6" x14ac:dyDescent="0.3">
      <c r="A10" s="42" t="s">
        <v>26</v>
      </c>
      <c r="B10" s="42" t="s">
        <v>114</v>
      </c>
    </row>
    <row r="11" spans="1:2" ht="15.6" x14ac:dyDescent="0.3">
      <c r="A11" s="42" t="s">
        <v>27</v>
      </c>
      <c r="B11" s="42" t="s">
        <v>115</v>
      </c>
    </row>
    <row r="13" spans="1:2" ht="15.6" x14ac:dyDescent="0.3">
      <c r="A13" s="65" t="s">
        <v>5</v>
      </c>
      <c r="B13" s="65" t="s">
        <v>5</v>
      </c>
    </row>
    <row r="14" spans="1:2" ht="15.6" x14ac:dyDescent="0.3">
      <c r="A14" s="42" t="s">
        <v>11</v>
      </c>
      <c r="B14" s="42" t="s">
        <v>116</v>
      </c>
    </row>
    <row r="15" spans="1:2" ht="15.6" x14ac:dyDescent="0.3">
      <c r="A15" s="42" t="s">
        <v>28</v>
      </c>
      <c r="B15" s="42" t="s">
        <v>117</v>
      </c>
    </row>
    <row r="16" spans="1:2" ht="15.6" x14ac:dyDescent="0.3">
      <c r="A16" s="42" t="s">
        <v>29</v>
      </c>
      <c r="B16" s="42" t="s">
        <v>118</v>
      </c>
    </row>
    <row r="17" spans="1:2" ht="15.6" x14ac:dyDescent="0.3">
      <c r="A17" s="42" t="s">
        <v>30</v>
      </c>
      <c r="B17" s="42" t="s">
        <v>119</v>
      </c>
    </row>
    <row r="18" spans="1:2" ht="15.6" x14ac:dyDescent="0.3">
      <c r="A18" s="42" t="s">
        <v>31</v>
      </c>
      <c r="B18" s="42" t="s">
        <v>141</v>
      </c>
    </row>
    <row r="19" spans="1:2" ht="15.6" x14ac:dyDescent="0.3">
      <c r="A19" s="42" t="s">
        <v>32</v>
      </c>
      <c r="B19" s="42" t="s">
        <v>142</v>
      </c>
    </row>
    <row r="20" spans="1:2" ht="15.6" x14ac:dyDescent="0.3">
      <c r="A20" s="42"/>
    </row>
    <row r="21" spans="1:2" ht="15.6" x14ac:dyDescent="0.3">
      <c r="A21" s="65" t="s">
        <v>4</v>
      </c>
      <c r="B21" s="65" t="s">
        <v>4</v>
      </c>
    </row>
    <row r="22" spans="1:2" ht="15.6" x14ac:dyDescent="0.3">
      <c r="A22" s="42" t="s">
        <v>33</v>
      </c>
      <c r="B22" s="42" t="s">
        <v>120</v>
      </c>
    </row>
    <row r="23" spans="1:2" ht="15.6" x14ac:dyDescent="0.3">
      <c r="A23" s="42" t="s">
        <v>34</v>
      </c>
      <c r="B23" s="42" t="s">
        <v>121</v>
      </c>
    </row>
    <row r="24" spans="1:2" ht="15.6" x14ac:dyDescent="0.3">
      <c r="A24" s="42" t="s">
        <v>56</v>
      </c>
      <c r="B24" s="42" t="s">
        <v>122</v>
      </c>
    </row>
    <row r="25" spans="1:2" ht="15.6" x14ac:dyDescent="0.3">
      <c r="A25" s="42" t="s">
        <v>35</v>
      </c>
      <c r="B25" s="42" t="s">
        <v>123</v>
      </c>
    </row>
    <row r="26" spans="1:2" ht="15.6" x14ac:dyDescent="0.3">
      <c r="A26" s="42" t="s">
        <v>36</v>
      </c>
      <c r="B26" s="42" t="s">
        <v>124</v>
      </c>
    </row>
    <row r="27" spans="1:2" ht="15.6" x14ac:dyDescent="0.3">
      <c r="A27" s="42"/>
    </row>
    <row r="28" spans="1:2" ht="15.6" x14ac:dyDescent="0.3">
      <c r="A28" s="65" t="s">
        <v>3</v>
      </c>
      <c r="B28" s="65" t="s">
        <v>3</v>
      </c>
    </row>
    <row r="29" spans="1:2" ht="15.6" x14ac:dyDescent="0.3">
      <c r="A29" s="42" t="s">
        <v>37</v>
      </c>
      <c r="B29" s="42" t="s">
        <v>125</v>
      </c>
    </row>
    <row r="30" spans="1:2" ht="15.6" x14ac:dyDescent="0.3">
      <c r="A30" s="42" t="s">
        <v>66</v>
      </c>
      <c r="B30" s="42" t="s">
        <v>126</v>
      </c>
    </row>
    <row r="31" spans="1:2" ht="15.6" x14ac:dyDescent="0.3">
      <c r="A31" s="42" t="s">
        <v>39</v>
      </c>
      <c r="B31" s="42" t="s">
        <v>127</v>
      </c>
    </row>
    <row r="32" spans="1:2" ht="15.6" x14ac:dyDescent="0.3">
      <c r="A32" s="42" t="s">
        <v>40</v>
      </c>
      <c r="B32" s="42" t="s">
        <v>128</v>
      </c>
    </row>
    <row r="33" spans="1:2" ht="15.6" x14ac:dyDescent="0.3">
      <c r="A33" s="42"/>
    </row>
    <row r="34" spans="1:2" ht="15.6" x14ac:dyDescent="0.3">
      <c r="A34" s="65" t="s">
        <v>2</v>
      </c>
      <c r="B34" s="65" t="s">
        <v>2</v>
      </c>
    </row>
    <row r="35" spans="1:2" ht="15.6" x14ac:dyDescent="0.3">
      <c r="A35" s="42" t="s">
        <v>41</v>
      </c>
      <c r="B35" s="42" t="s">
        <v>129</v>
      </c>
    </row>
    <row r="36" spans="1:2" ht="15.6" x14ac:dyDescent="0.3">
      <c r="A36" s="42" t="s">
        <v>42</v>
      </c>
      <c r="B36" s="42" t="s">
        <v>130</v>
      </c>
    </row>
    <row r="37" spans="1:2" ht="15.6" x14ac:dyDescent="0.3">
      <c r="A37" s="42" t="s">
        <v>43</v>
      </c>
      <c r="B37" s="42" t="s">
        <v>131</v>
      </c>
    </row>
    <row r="38" spans="1:2" ht="15.6" x14ac:dyDescent="0.3">
      <c r="A38" s="42" t="s">
        <v>44</v>
      </c>
      <c r="B38" s="42" t="s">
        <v>132</v>
      </c>
    </row>
    <row r="39" spans="1:2" ht="15.6" x14ac:dyDescent="0.3">
      <c r="A39" s="42"/>
    </row>
    <row r="40" spans="1:2" ht="15.6" x14ac:dyDescent="0.3">
      <c r="A40" s="65" t="s">
        <v>67</v>
      </c>
      <c r="B40" s="65" t="s">
        <v>67</v>
      </c>
    </row>
    <row r="41" spans="1:2" ht="15.6" x14ac:dyDescent="0.3">
      <c r="A41" s="42" t="s">
        <v>45</v>
      </c>
      <c r="B41" s="42" t="s">
        <v>133</v>
      </c>
    </row>
    <row r="42" spans="1:2" ht="15.6" x14ac:dyDescent="0.3">
      <c r="A42" s="42" t="s">
        <v>46</v>
      </c>
      <c r="B42" s="42" t="s">
        <v>134</v>
      </c>
    </row>
    <row r="43" spans="1:2" ht="15.6" x14ac:dyDescent="0.3">
      <c r="A43" s="42" t="s">
        <v>47</v>
      </c>
      <c r="B43" s="42" t="s">
        <v>135</v>
      </c>
    </row>
    <row r="44" spans="1:2" ht="15.6" x14ac:dyDescent="0.3">
      <c r="A44" s="42" t="s">
        <v>48</v>
      </c>
      <c r="B44" s="42" t="s">
        <v>136</v>
      </c>
    </row>
    <row r="45" spans="1:2" ht="15.6" x14ac:dyDescent="0.3">
      <c r="A45" s="42" t="s">
        <v>49</v>
      </c>
      <c r="B45" s="42" t="s">
        <v>137</v>
      </c>
    </row>
    <row r="46" spans="1:2" ht="15.6" x14ac:dyDescent="0.3">
      <c r="A46" s="42"/>
    </row>
    <row r="47" spans="1:2" ht="15.6" x14ac:dyDescent="0.3">
      <c r="A47" s="65" t="s">
        <v>68</v>
      </c>
      <c r="B47" s="65" t="s">
        <v>68</v>
      </c>
    </row>
    <row r="48" spans="1:2" ht="15.6" x14ac:dyDescent="0.3">
      <c r="A48" s="42" t="s">
        <v>50</v>
      </c>
      <c r="B48" s="42" t="s">
        <v>138</v>
      </c>
    </row>
    <row r="49" spans="1:2" ht="15.6" x14ac:dyDescent="0.3">
      <c r="A49" s="42" t="s">
        <v>51</v>
      </c>
      <c r="B49" s="42" t="s">
        <v>139</v>
      </c>
    </row>
    <row r="50" spans="1:2" ht="15.6" x14ac:dyDescent="0.3">
      <c r="A50" s="42" t="s">
        <v>52</v>
      </c>
      <c r="B50" s="42" t="s">
        <v>140</v>
      </c>
    </row>
  </sheetData>
  <conditionalFormatting sqref="A1 A3:A50">
    <cfRule type="duplicateValues" dxfId="21" priority="19"/>
    <cfRule type="duplicateValues" dxfId="20" priority="20"/>
  </conditionalFormatting>
  <conditionalFormatting sqref="B3">
    <cfRule type="duplicateValues" dxfId="19" priority="17"/>
    <cfRule type="duplicateValues" dxfId="18" priority="18"/>
  </conditionalFormatting>
  <conditionalFormatting sqref="B4:B11 B14:B19 B22:B26 B29:B32 B35:B38 B41:B45 B48:B50">
    <cfRule type="duplicateValues" dxfId="17" priority="1"/>
    <cfRule type="duplicateValues" dxfId="16" priority="2"/>
  </conditionalFormatting>
  <conditionalFormatting sqref="B13">
    <cfRule type="duplicateValues" dxfId="15" priority="15"/>
    <cfRule type="duplicateValues" dxfId="14" priority="16"/>
  </conditionalFormatting>
  <conditionalFormatting sqref="B21">
    <cfRule type="duplicateValues" dxfId="13" priority="13"/>
    <cfRule type="duplicateValues" dxfId="12" priority="14"/>
  </conditionalFormatting>
  <conditionalFormatting sqref="B28">
    <cfRule type="duplicateValues" dxfId="11" priority="11"/>
    <cfRule type="duplicateValues" dxfId="10" priority="12"/>
  </conditionalFormatting>
  <conditionalFormatting sqref="B34">
    <cfRule type="duplicateValues" dxfId="9" priority="9"/>
    <cfRule type="duplicateValues" dxfId="8" priority="10"/>
  </conditionalFormatting>
  <conditionalFormatting sqref="B40">
    <cfRule type="duplicateValues" dxfId="7" priority="7"/>
    <cfRule type="duplicateValues" dxfId="6" priority="8"/>
  </conditionalFormatting>
  <conditionalFormatting sqref="B47">
    <cfRule type="duplicateValues" dxfId="5" priority="5"/>
    <cfRule type="duplicateValues" dxfId="4" priority="6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2C43-19DD-475B-8F6F-88DE68E46BB3}">
  <dimension ref="A1:AM21"/>
  <sheetViews>
    <sheetView zoomScale="55" zoomScaleNormal="55" workbookViewId="0">
      <selection activeCell="E10" sqref="E10"/>
    </sheetView>
  </sheetViews>
  <sheetFormatPr defaultRowHeight="25.05" customHeight="1" x14ac:dyDescent="0.3"/>
  <cols>
    <col min="1" max="38" width="25.77734375" style="43" customWidth="1"/>
  </cols>
  <sheetData>
    <row r="1" spans="1:39" ht="39" customHeight="1" x14ac:dyDescent="0.3">
      <c r="A1" s="45" t="s">
        <v>71</v>
      </c>
      <c r="B1" s="45" t="s">
        <v>76</v>
      </c>
      <c r="C1" s="45" t="s">
        <v>76</v>
      </c>
      <c r="D1" s="45">
        <v>1</v>
      </c>
      <c r="E1" s="45">
        <v>2</v>
      </c>
      <c r="F1" s="46">
        <v>3</v>
      </c>
      <c r="G1" s="45">
        <v>4</v>
      </c>
      <c r="H1" s="47">
        <v>5</v>
      </c>
      <c r="I1" s="46">
        <v>6</v>
      </c>
      <c r="J1" s="45">
        <v>7</v>
      </c>
      <c r="K1" s="45">
        <v>8</v>
      </c>
      <c r="L1" s="46">
        <v>9</v>
      </c>
      <c r="M1" s="45">
        <v>10</v>
      </c>
      <c r="N1" s="45">
        <v>11</v>
      </c>
      <c r="O1" s="46">
        <v>12</v>
      </c>
      <c r="P1" s="45">
        <v>13</v>
      </c>
      <c r="Q1" s="47">
        <v>14</v>
      </c>
      <c r="R1" s="45">
        <v>15</v>
      </c>
      <c r="S1" s="46">
        <v>16</v>
      </c>
      <c r="T1" s="45">
        <v>17</v>
      </c>
      <c r="U1" s="46">
        <v>18</v>
      </c>
      <c r="V1" s="45">
        <v>19</v>
      </c>
      <c r="W1" s="46">
        <v>20</v>
      </c>
      <c r="X1" s="47">
        <v>21</v>
      </c>
      <c r="Y1" s="46">
        <v>22</v>
      </c>
      <c r="Z1" s="45">
        <v>23</v>
      </c>
      <c r="AA1" s="45">
        <v>24</v>
      </c>
      <c r="AB1" s="45">
        <v>25</v>
      </c>
      <c r="AC1" s="45">
        <v>26</v>
      </c>
      <c r="AD1" s="45">
        <v>27</v>
      </c>
      <c r="AE1" s="45">
        <v>28</v>
      </c>
      <c r="AF1" s="45">
        <v>29</v>
      </c>
      <c r="AG1" s="45">
        <v>30</v>
      </c>
      <c r="AH1" s="45">
        <v>31</v>
      </c>
      <c r="AI1" s="45">
        <v>32</v>
      </c>
      <c r="AJ1" s="45">
        <v>33</v>
      </c>
      <c r="AK1" s="47">
        <v>34</v>
      </c>
      <c r="AL1" s="45">
        <v>35</v>
      </c>
    </row>
    <row r="2" spans="1:39" ht="39.6" customHeight="1" thickBot="1" x14ac:dyDescent="0.35">
      <c r="A2" s="54" t="s">
        <v>59</v>
      </c>
      <c r="B2" s="54" t="s">
        <v>76</v>
      </c>
      <c r="C2" s="54" t="s">
        <v>76</v>
      </c>
      <c r="D2" s="54" t="s">
        <v>1</v>
      </c>
      <c r="E2" s="54" t="s">
        <v>5</v>
      </c>
      <c r="F2" s="55" t="s">
        <v>20</v>
      </c>
      <c r="G2" s="54" t="s">
        <v>1</v>
      </c>
      <c r="H2" s="55" t="s">
        <v>2</v>
      </c>
      <c r="I2" s="55" t="s">
        <v>20</v>
      </c>
      <c r="J2" s="54" t="s">
        <v>3</v>
      </c>
      <c r="K2" s="54" t="s">
        <v>4</v>
      </c>
      <c r="L2" s="55" t="s">
        <v>20</v>
      </c>
      <c r="M2" s="54" t="s">
        <v>5</v>
      </c>
      <c r="N2" s="54" t="s">
        <v>1</v>
      </c>
      <c r="O2" s="55" t="s">
        <v>20</v>
      </c>
      <c r="P2" s="54" t="s">
        <v>1</v>
      </c>
      <c r="Q2" s="55" t="s">
        <v>2</v>
      </c>
      <c r="R2" s="54" t="s">
        <v>5</v>
      </c>
      <c r="S2" s="55" t="s">
        <v>20</v>
      </c>
      <c r="T2" s="54" t="s">
        <v>1</v>
      </c>
      <c r="U2" s="55" t="s">
        <v>20</v>
      </c>
      <c r="V2" s="54" t="s">
        <v>5</v>
      </c>
      <c r="W2" s="55" t="s">
        <v>20</v>
      </c>
      <c r="X2" s="55" t="s">
        <v>2</v>
      </c>
      <c r="Y2" s="55" t="s">
        <v>20</v>
      </c>
      <c r="Z2" s="54" t="s">
        <v>4</v>
      </c>
      <c r="AA2" s="54" t="s">
        <v>3</v>
      </c>
      <c r="AB2" s="54" t="s">
        <v>5</v>
      </c>
      <c r="AC2" s="54" t="s">
        <v>0</v>
      </c>
      <c r="AD2" s="54" t="s">
        <v>3</v>
      </c>
      <c r="AE2" s="54" t="s">
        <v>0</v>
      </c>
      <c r="AF2" s="54" t="s">
        <v>4</v>
      </c>
      <c r="AG2" s="54" t="s">
        <v>5</v>
      </c>
      <c r="AH2" s="54" t="s">
        <v>3</v>
      </c>
      <c r="AI2" s="54" t="s">
        <v>0</v>
      </c>
      <c r="AJ2" s="54" t="s">
        <v>4</v>
      </c>
      <c r="AK2" s="55" t="s">
        <v>2</v>
      </c>
      <c r="AL2" s="54" t="s">
        <v>4</v>
      </c>
    </row>
    <row r="3" spans="1:39" s="49" customFormat="1" ht="43.2" customHeight="1" thickBot="1" x14ac:dyDescent="0.35">
      <c r="A3" s="59" t="s">
        <v>70</v>
      </c>
      <c r="B3" s="60" t="s">
        <v>74</v>
      </c>
      <c r="C3" s="61" t="s">
        <v>75</v>
      </c>
      <c r="D3" s="62" t="s">
        <v>45</v>
      </c>
      <c r="E3" s="62" t="s">
        <v>11</v>
      </c>
      <c r="F3" s="63" t="s">
        <v>21</v>
      </c>
      <c r="G3" s="62" t="s">
        <v>46</v>
      </c>
      <c r="H3" s="63" t="s">
        <v>41</v>
      </c>
      <c r="I3" s="63" t="s">
        <v>22</v>
      </c>
      <c r="J3" s="62" t="s">
        <v>37</v>
      </c>
      <c r="K3" s="62" t="s">
        <v>33</v>
      </c>
      <c r="L3" s="63" t="s">
        <v>23</v>
      </c>
      <c r="M3" s="62" t="s">
        <v>28</v>
      </c>
      <c r="N3" s="62" t="s">
        <v>47</v>
      </c>
      <c r="O3" s="63" t="s">
        <v>55</v>
      </c>
      <c r="P3" s="62" t="s">
        <v>48</v>
      </c>
      <c r="Q3" s="63" t="s">
        <v>42</v>
      </c>
      <c r="R3" s="62" t="s">
        <v>29</v>
      </c>
      <c r="S3" s="63" t="s">
        <v>24</v>
      </c>
      <c r="T3" s="62" t="s">
        <v>49</v>
      </c>
      <c r="U3" s="63" t="s">
        <v>25</v>
      </c>
      <c r="V3" s="62" t="s">
        <v>30</v>
      </c>
      <c r="W3" s="63" t="s">
        <v>26</v>
      </c>
      <c r="X3" s="63" t="s">
        <v>43</v>
      </c>
      <c r="Y3" s="63" t="s">
        <v>27</v>
      </c>
      <c r="Z3" s="62" t="s">
        <v>34</v>
      </c>
      <c r="AA3" s="62" t="s">
        <v>38</v>
      </c>
      <c r="AB3" s="62" t="s">
        <v>31</v>
      </c>
      <c r="AC3" s="62" t="s">
        <v>50</v>
      </c>
      <c r="AD3" s="62" t="s">
        <v>39</v>
      </c>
      <c r="AE3" s="62" t="s">
        <v>51</v>
      </c>
      <c r="AF3" s="62" t="s">
        <v>56</v>
      </c>
      <c r="AG3" s="62" t="s">
        <v>32</v>
      </c>
      <c r="AH3" s="62" t="s">
        <v>40</v>
      </c>
      <c r="AI3" s="62" t="s">
        <v>52</v>
      </c>
      <c r="AJ3" s="62" t="s">
        <v>35</v>
      </c>
      <c r="AK3" s="63" t="s">
        <v>44</v>
      </c>
      <c r="AL3" s="64" t="s">
        <v>36</v>
      </c>
    </row>
    <row r="4" spans="1:39" ht="43.2" customHeight="1" x14ac:dyDescent="0.3">
      <c r="A4" s="56"/>
      <c r="B4" s="56" t="s">
        <v>72</v>
      </c>
      <c r="C4" s="56" t="s">
        <v>73</v>
      </c>
      <c r="D4" s="57" t="s">
        <v>17</v>
      </c>
      <c r="E4" s="57" t="s">
        <v>16</v>
      </c>
      <c r="F4" s="58" t="s">
        <v>69</v>
      </c>
      <c r="G4" s="57" t="s">
        <v>14</v>
      </c>
      <c r="H4" s="57" t="s">
        <v>13</v>
      </c>
      <c r="I4" s="57" t="s">
        <v>17</v>
      </c>
      <c r="J4" s="57" t="s">
        <v>16</v>
      </c>
      <c r="K4" s="58" t="s">
        <v>69</v>
      </c>
      <c r="L4" s="57" t="s">
        <v>14</v>
      </c>
      <c r="M4" s="57" t="s">
        <v>13</v>
      </c>
      <c r="N4" s="57" t="s">
        <v>17</v>
      </c>
      <c r="O4" s="57" t="s">
        <v>16</v>
      </c>
      <c r="P4" s="58" t="s">
        <v>69</v>
      </c>
      <c r="Q4" s="57" t="s">
        <v>14</v>
      </c>
      <c r="R4" s="57" t="s">
        <v>13</v>
      </c>
      <c r="S4" s="57" t="s">
        <v>17</v>
      </c>
      <c r="T4" s="57" t="s">
        <v>16</v>
      </c>
      <c r="U4" s="58" t="s">
        <v>69</v>
      </c>
      <c r="V4" s="57" t="s">
        <v>14</v>
      </c>
      <c r="W4" s="57" t="s">
        <v>13</v>
      </c>
      <c r="X4" s="57" t="s">
        <v>17</v>
      </c>
      <c r="Y4" s="57" t="s">
        <v>16</v>
      </c>
      <c r="Z4" s="58" t="s">
        <v>69</v>
      </c>
      <c r="AA4" s="57" t="s">
        <v>14</v>
      </c>
      <c r="AB4" s="57" t="s">
        <v>13</v>
      </c>
      <c r="AC4" s="57" t="s">
        <v>17</v>
      </c>
      <c r="AD4" s="57" t="s">
        <v>16</v>
      </c>
      <c r="AE4" s="58" t="s">
        <v>69</v>
      </c>
      <c r="AF4" s="57" t="s">
        <v>14</v>
      </c>
      <c r="AG4" s="57" t="s">
        <v>13</v>
      </c>
      <c r="AH4" s="57" t="s">
        <v>17</v>
      </c>
      <c r="AI4" s="57" t="s">
        <v>16</v>
      </c>
      <c r="AJ4" s="58" t="s">
        <v>69</v>
      </c>
      <c r="AK4" s="57" t="s">
        <v>14</v>
      </c>
      <c r="AL4" s="57" t="s">
        <v>13</v>
      </c>
      <c r="AM4" s="44"/>
    </row>
    <row r="5" spans="1:39" ht="43.2" customHeight="1" x14ac:dyDescent="0.3">
      <c r="A5" s="45"/>
      <c r="B5" s="45" t="s">
        <v>83</v>
      </c>
      <c r="C5" s="45" t="s">
        <v>86</v>
      </c>
      <c r="D5" s="44" t="s">
        <v>16</v>
      </c>
      <c r="E5" s="48" t="s">
        <v>69</v>
      </c>
      <c r="F5" s="44" t="s">
        <v>14</v>
      </c>
      <c r="G5" s="44" t="s">
        <v>13</v>
      </c>
      <c r="H5" s="44" t="s">
        <v>17</v>
      </c>
      <c r="I5" s="44" t="s">
        <v>16</v>
      </c>
      <c r="J5" s="48" t="s">
        <v>69</v>
      </c>
      <c r="K5" s="44" t="s">
        <v>14</v>
      </c>
      <c r="L5" s="44" t="s">
        <v>13</v>
      </c>
      <c r="M5" s="44" t="s">
        <v>17</v>
      </c>
      <c r="N5" s="44" t="s">
        <v>16</v>
      </c>
      <c r="O5" s="48" t="s">
        <v>69</v>
      </c>
      <c r="P5" s="44" t="s">
        <v>14</v>
      </c>
      <c r="Q5" s="44" t="s">
        <v>13</v>
      </c>
      <c r="R5" s="44" t="s">
        <v>17</v>
      </c>
      <c r="S5" s="44" t="s">
        <v>16</v>
      </c>
      <c r="T5" s="48" t="s">
        <v>69</v>
      </c>
      <c r="U5" s="44" t="s">
        <v>14</v>
      </c>
      <c r="V5" s="44" t="s">
        <v>13</v>
      </c>
      <c r="W5" s="44" t="s">
        <v>17</v>
      </c>
      <c r="X5" s="44" t="s">
        <v>16</v>
      </c>
      <c r="Y5" s="48" t="s">
        <v>69</v>
      </c>
      <c r="Z5" s="44" t="s">
        <v>14</v>
      </c>
      <c r="AA5" s="44" t="s">
        <v>13</v>
      </c>
      <c r="AB5" s="44" t="s">
        <v>17</v>
      </c>
      <c r="AC5" s="44" t="s">
        <v>16</v>
      </c>
      <c r="AD5" s="48" t="s">
        <v>69</v>
      </c>
      <c r="AE5" s="44" t="s">
        <v>14</v>
      </c>
      <c r="AF5" s="44" t="s">
        <v>13</v>
      </c>
      <c r="AG5" s="44" t="s">
        <v>17</v>
      </c>
      <c r="AH5" s="44" t="s">
        <v>16</v>
      </c>
      <c r="AI5" s="48" t="s">
        <v>69</v>
      </c>
      <c r="AJ5" s="44" t="s">
        <v>14</v>
      </c>
      <c r="AK5" s="44" t="s">
        <v>13</v>
      </c>
      <c r="AL5" s="44" t="s">
        <v>17</v>
      </c>
      <c r="AM5" s="44"/>
    </row>
    <row r="6" spans="1:39" ht="43.2" customHeight="1" x14ac:dyDescent="0.3">
      <c r="A6" s="45"/>
      <c r="B6" s="45" t="s">
        <v>77</v>
      </c>
      <c r="C6" s="45" t="s">
        <v>78</v>
      </c>
      <c r="D6" s="48" t="s">
        <v>69</v>
      </c>
      <c r="E6" s="44" t="s">
        <v>14</v>
      </c>
      <c r="F6" s="44" t="s">
        <v>13</v>
      </c>
      <c r="G6" s="44" t="s">
        <v>17</v>
      </c>
      <c r="H6" s="44" t="s">
        <v>16</v>
      </c>
      <c r="I6" s="48" t="s">
        <v>69</v>
      </c>
      <c r="J6" s="44" t="s">
        <v>14</v>
      </c>
      <c r="K6" s="44" t="s">
        <v>13</v>
      </c>
      <c r="L6" s="44" t="s">
        <v>17</v>
      </c>
      <c r="M6" s="44" t="s">
        <v>16</v>
      </c>
      <c r="N6" s="48" t="s">
        <v>69</v>
      </c>
      <c r="O6" s="44" t="s">
        <v>14</v>
      </c>
      <c r="P6" s="44" t="s">
        <v>13</v>
      </c>
      <c r="Q6" s="44" t="s">
        <v>17</v>
      </c>
      <c r="R6" s="44" t="s">
        <v>16</v>
      </c>
      <c r="S6" s="48" t="s">
        <v>69</v>
      </c>
      <c r="T6" s="44" t="s">
        <v>14</v>
      </c>
      <c r="U6" s="44" t="s">
        <v>13</v>
      </c>
      <c r="V6" s="44" t="s">
        <v>17</v>
      </c>
      <c r="W6" s="44" t="s">
        <v>16</v>
      </c>
      <c r="X6" s="48" t="s">
        <v>69</v>
      </c>
      <c r="Y6" s="44" t="s">
        <v>14</v>
      </c>
      <c r="Z6" s="44" t="s">
        <v>13</v>
      </c>
      <c r="AA6" s="44" t="s">
        <v>17</v>
      </c>
      <c r="AB6" s="44" t="s">
        <v>16</v>
      </c>
      <c r="AC6" s="48" t="s">
        <v>69</v>
      </c>
      <c r="AD6" s="44" t="s">
        <v>14</v>
      </c>
      <c r="AE6" s="44" t="s">
        <v>13</v>
      </c>
      <c r="AF6" s="44" t="s">
        <v>17</v>
      </c>
      <c r="AG6" s="44" t="s">
        <v>16</v>
      </c>
      <c r="AH6" s="48" t="s">
        <v>69</v>
      </c>
      <c r="AI6" s="44" t="s">
        <v>14</v>
      </c>
      <c r="AJ6" s="44" t="s">
        <v>13</v>
      </c>
      <c r="AK6" s="44" t="s">
        <v>17</v>
      </c>
      <c r="AL6" s="44" t="s">
        <v>16</v>
      </c>
      <c r="AM6" s="48"/>
    </row>
    <row r="7" spans="1:39" ht="43.2" customHeight="1" x14ac:dyDescent="0.3">
      <c r="A7" s="45"/>
      <c r="B7" s="45" t="s">
        <v>79</v>
      </c>
      <c r="C7" s="45" t="s">
        <v>87</v>
      </c>
      <c r="D7" s="48" t="s">
        <v>14</v>
      </c>
      <c r="E7" s="44" t="s">
        <v>13</v>
      </c>
      <c r="F7" s="44" t="s">
        <v>17</v>
      </c>
      <c r="G7" s="44" t="s">
        <v>16</v>
      </c>
      <c r="H7" s="44" t="s">
        <v>69</v>
      </c>
      <c r="I7" s="48" t="s">
        <v>14</v>
      </c>
      <c r="J7" s="44" t="s">
        <v>13</v>
      </c>
      <c r="K7" s="44" t="s">
        <v>17</v>
      </c>
      <c r="L7" s="44" t="s">
        <v>16</v>
      </c>
      <c r="M7" s="44" t="s">
        <v>69</v>
      </c>
      <c r="N7" s="48" t="s">
        <v>14</v>
      </c>
      <c r="O7" s="44" t="s">
        <v>13</v>
      </c>
      <c r="P7" s="44" t="s">
        <v>17</v>
      </c>
      <c r="Q7" s="44" t="s">
        <v>16</v>
      </c>
      <c r="R7" s="44" t="s">
        <v>69</v>
      </c>
      <c r="S7" s="48" t="s">
        <v>14</v>
      </c>
      <c r="T7" s="44" t="s">
        <v>13</v>
      </c>
      <c r="U7" s="44" t="s">
        <v>17</v>
      </c>
      <c r="V7" s="44" t="s">
        <v>16</v>
      </c>
      <c r="W7" s="44" t="s">
        <v>69</v>
      </c>
      <c r="X7" s="48" t="s">
        <v>14</v>
      </c>
      <c r="Y7" s="44" t="s">
        <v>13</v>
      </c>
      <c r="Z7" s="44" t="s">
        <v>17</v>
      </c>
      <c r="AA7" s="44" t="s">
        <v>16</v>
      </c>
      <c r="AB7" s="44" t="s">
        <v>69</v>
      </c>
      <c r="AC7" s="48" t="s">
        <v>14</v>
      </c>
      <c r="AD7" s="44" t="s">
        <v>13</v>
      </c>
      <c r="AE7" s="44" t="s">
        <v>17</v>
      </c>
      <c r="AF7" s="44" t="s">
        <v>16</v>
      </c>
      <c r="AG7" s="44" t="s">
        <v>69</v>
      </c>
      <c r="AH7" s="48" t="s">
        <v>14</v>
      </c>
      <c r="AI7" s="44" t="s">
        <v>13</v>
      </c>
      <c r="AJ7" s="44" t="s">
        <v>17</v>
      </c>
      <c r="AK7" s="44" t="s">
        <v>16</v>
      </c>
      <c r="AL7" s="44" t="s">
        <v>69</v>
      </c>
      <c r="AM7" s="48"/>
    </row>
    <row r="8" spans="1:39" ht="43.2" customHeight="1" x14ac:dyDescent="0.3">
      <c r="A8" s="45"/>
      <c r="B8" s="45" t="s">
        <v>57</v>
      </c>
      <c r="C8" s="45" t="s">
        <v>88</v>
      </c>
      <c r="D8" s="48" t="s">
        <v>13</v>
      </c>
      <c r="E8" s="44" t="s">
        <v>17</v>
      </c>
      <c r="F8" s="44" t="s">
        <v>16</v>
      </c>
      <c r="G8" s="44" t="s">
        <v>69</v>
      </c>
      <c r="H8" s="44" t="s">
        <v>14</v>
      </c>
      <c r="I8" s="48" t="s">
        <v>13</v>
      </c>
      <c r="J8" s="44" t="s">
        <v>17</v>
      </c>
      <c r="K8" s="44" t="s">
        <v>16</v>
      </c>
      <c r="L8" s="44" t="s">
        <v>69</v>
      </c>
      <c r="M8" s="44" t="s">
        <v>14</v>
      </c>
      <c r="N8" s="48" t="s">
        <v>13</v>
      </c>
      <c r="O8" s="44" t="s">
        <v>17</v>
      </c>
      <c r="P8" s="44" t="s">
        <v>16</v>
      </c>
      <c r="Q8" s="44" t="s">
        <v>69</v>
      </c>
      <c r="R8" s="44" t="s">
        <v>14</v>
      </c>
      <c r="S8" s="48" t="s">
        <v>13</v>
      </c>
      <c r="T8" s="44" t="s">
        <v>17</v>
      </c>
      <c r="U8" s="44" t="s">
        <v>16</v>
      </c>
      <c r="V8" s="44" t="s">
        <v>69</v>
      </c>
      <c r="W8" s="44" t="s">
        <v>14</v>
      </c>
      <c r="X8" s="48" t="s">
        <v>13</v>
      </c>
      <c r="Y8" s="44" t="s">
        <v>17</v>
      </c>
      <c r="Z8" s="44" t="s">
        <v>16</v>
      </c>
      <c r="AA8" s="44" t="s">
        <v>69</v>
      </c>
      <c r="AB8" s="44" t="s">
        <v>14</v>
      </c>
      <c r="AC8" s="48" t="s">
        <v>13</v>
      </c>
      <c r="AD8" s="44" t="s">
        <v>17</v>
      </c>
      <c r="AE8" s="44" t="s">
        <v>16</v>
      </c>
      <c r="AF8" s="44" t="s">
        <v>69</v>
      </c>
      <c r="AG8" s="44" t="s">
        <v>14</v>
      </c>
      <c r="AH8" s="48" t="s">
        <v>13</v>
      </c>
      <c r="AI8" s="44" t="s">
        <v>17</v>
      </c>
      <c r="AJ8" s="44" t="s">
        <v>16</v>
      </c>
      <c r="AK8" s="44" t="s">
        <v>69</v>
      </c>
      <c r="AL8" s="44" t="s">
        <v>14</v>
      </c>
      <c r="AM8" s="48"/>
    </row>
    <row r="9" spans="1:39" ht="43.2" customHeight="1" x14ac:dyDescent="0.3">
      <c r="A9" s="45"/>
      <c r="B9" s="45" t="s">
        <v>80</v>
      </c>
      <c r="C9" s="45" t="s">
        <v>89</v>
      </c>
      <c r="D9" s="48" t="s">
        <v>69</v>
      </c>
      <c r="E9" s="44" t="s">
        <v>14</v>
      </c>
      <c r="F9" s="44" t="s">
        <v>13</v>
      </c>
      <c r="G9" s="44" t="s">
        <v>17</v>
      </c>
      <c r="H9" s="44" t="s">
        <v>16</v>
      </c>
      <c r="I9" s="48" t="s">
        <v>69</v>
      </c>
      <c r="J9" s="44" t="s">
        <v>14</v>
      </c>
      <c r="K9" s="44" t="s">
        <v>13</v>
      </c>
      <c r="L9" s="44" t="s">
        <v>17</v>
      </c>
      <c r="M9" s="44" t="s">
        <v>16</v>
      </c>
      <c r="N9" s="48" t="s">
        <v>69</v>
      </c>
      <c r="O9" s="44" t="s">
        <v>14</v>
      </c>
      <c r="P9" s="44" t="s">
        <v>13</v>
      </c>
      <c r="Q9" s="44" t="s">
        <v>17</v>
      </c>
      <c r="R9" s="44" t="s">
        <v>16</v>
      </c>
      <c r="S9" s="48" t="s">
        <v>69</v>
      </c>
      <c r="T9" s="44" t="s">
        <v>14</v>
      </c>
      <c r="U9" s="44" t="s">
        <v>13</v>
      </c>
      <c r="V9" s="44" t="s">
        <v>17</v>
      </c>
      <c r="W9" s="44" t="s">
        <v>16</v>
      </c>
      <c r="X9" s="48" t="s">
        <v>69</v>
      </c>
      <c r="Y9" s="44" t="s">
        <v>14</v>
      </c>
      <c r="Z9" s="44" t="s">
        <v>13</v>
      </c>
      <c r="AA9" s="44" t="s">
        <v>17</v>
      </c>
      <c r="AB9" s="44" t="s">
        <v>16</v>
      </c>
      <c r="AC9" s="48" t="s">
        <v>69</v>
      </c>
      <c r="AD9" s="44" t="s">
        <v>14</v>
      </c>
      <c r="AE9" s="44" t="s">
        <v>13</v>
      </c>
      <c r="AF9" s="44" t="s">
        <v>17</v>
      </c>
      <c r="AG9" s="44" t="s">
        <v>16</v>
      </c>
      <c r="AH9" s="48" t="s">
        <v>69</v>
      </c>
      <c r="AI9" s="44" t="s">
        <v>14</v>
      </c>
      <c r="AJ9" s="44" t="s">
        <v>13</v>
      </c>
      <c r="AK9" s="44" t="s">
        <v>17</v>
      </c>
      <c r="AL9" s="44" t="s">
        <v>16</v>
      </c>
      <c r="AM9" s="48"/>
    </row>
    <row r="10" spans="1:39" ht="43.2" customHeight="1" x14ac:dyDescent="0.3">
      <c r="A10" s="45"/>
      <c r="B10" s="45" t="s">
        <v>81</v>
      </c>
      <c r="C10" s="45" t="s">
        <v>90</v>
      </c>
      <c r="D10" s="48" t="s">
        <v>13</v>
      </c>
      <c r="E10" s="44" t="s">
        <v>17</v>
      </c>
      <c r="F10" s="44" t="s">
        <v>16</v>
      </c>
      <c r="G10" s="44" t="s">
        <v>69</v>
      </c>
      <c r="H10" s="44" t="s">
        <v>14</v>
      </c>
      <c r="I10" s="48" t="s">
        <v>13</v>
      </c>
      <c r="J10" s="44" t="s">
        <v>17</v>
      </c>
      <c r="K10" s="44" t="s">
        <v>16</v>
      </c>
      <c r="L10" s="44" t="s">
        <v>69</v>
      </c>
      <c r="M10" s="44" t="s">
        <v>14</v>
      </c>
      <c r="N10" s="48" t="s">
        <v>13</v>
      </c>
      <c r="O10" s="44" t="s">
        <v>17</v>
      </c>
      <c r="P10" s="44" t="s">
        <v>16</v>
      </c>
      <c r="Q10" s="44" t="s">
        <v>69</v>
      </c>
      <c r="R10" s="44" t="s">
        <v>14</v>
      </c>
      <c r="S10" s="48" t="s">
        <v>13</v>
      </c>
      <c r="T10" s="44" t="s">
        <v>17</v>
      </c>
      <c r="U10" s="44" t="s">
        <v>16</v>
      </c>
      <c r="V10" s="44" t="s">
        <v>69</v>
      </c>
      <c r="W10" s="44" t="s">
        <v>14</v>
      </c>
      <c r="X10" s="48" t="s">
        <v>13</v>
      </c>
      <c r="Y10" s="44" t="s">
        <v>17</v>
      </c>
      <c r="Z10" s="44" t="s">
        <v>16</v>
      </c>
      <c r="AA10" s="44" t="s">
        <v>69</v>
      </c>
      <c r="AB10" s="44" t="s">
        <v>14</v>
      </c>
      <c r="AC10" s="48" t="s">
        <v>13</v>
      </c>
      <c r="AD10" s="44" t="s">
        <v>17</v>
      </c>
      <c r="AE10" s="44" t="s">
        <v>16</v>
      </c>
      <c r="AF10" s="44" t="s">
        <v>69</v>
      </c>
      <c r="AG10" s="44" t="s">
        <v>14</v>
      </c>
      <c r="AH10" s="48" t="s">
        <v>13</v>
      </c>
      <c r="AI10" s="44" t="s">
        <v>17</v>
      </c>
      <c r="AJ10" s="44" t="s">
        <v>16</v>
      </c>
      <c r="AK10" s="44" t="s">
        <v>69</v>
      </c>
      <c r="AL10" s="44" t="s">
        <v>14</v>
      </c>
      <c r="AM10" s="48"/>
    </row>
    <row r="11" spans="1:39" ht="43.2" customHeight="1" x14ac:dyDescent="0.3">
      <c r="A11" s="45"/>
      <c r="B11" s="45" t="s">
        <v>82</v>
      </c>
      <c r="C11" s="45" t="s">
        <v>91</v>
      </c>
      <c r="D11" s="44" t="s">
        <v>17</v>
      </c>
      <c r="E11" s="44" t="s">
        <v>16</v>
      </c>
      <c r="F11" s="48" t="s">
        <v>69</v>
      </c>
      <c r="G11" s="44" t="s">
        <v>14</v>
      </c>
      <c r="H11" s="44" t="s">
        <v>13</v>
      </c>
      <c r="I11" s="44" t="s">
        <v>17</v>
      </c>
      <c r="J11" s="44" t="s">
        <v>16</v>
      </c>
      <c r="K11" s="48" t="s">
        <v>69</v>
      </c>
      <c r="L11" s="44" t="s">
        <v>14</v>
      </c>
      <c r="M11" s="44" t="s">
        <v>13</v>
      </c>
      <c r="N11" s="44" t="s">
        <v>17</v>
      </c>
      <c r="O11" s="44" t="s">
        <v>16</v>
      </c>
      <c r="P11" s="48" t="s">
        <v>69</v>
      </c>
      <c r="Q11" s="44" t="s">
        <v>14</v>
      </c>
      <c r="R11" s="44" t="s">
        <v>13</v>
      </c>
      <c r="S11" s="44" t="s">
        <v>17</v>
      </c>
      <c r="T11" s="44" t="s">
        <v>16</v>
      </c>
      <c r="U11" s="48" t="s">
        <v>69</v>
      </c>
      <c r="V11" s="44" t="s">
        <v>14</v>
      </c>
      <c r="W11" s="44" t="s">
        <v>13</v>
      </c>
      <c r="X11" s="44" t="s">
        <v>17</v>
      </c>
      <c r="Y11" s="44" t="s">
        <v>16</v>
      </c>
      <c r="Z11" s="48" t="s">
        <v>69</v>
      </c>
      <c r="AA11" s="44" t="s">
        <v>14</v>
      </c>
      <c r="AB11" s="44" t="s">
        <v>13</v>
      </c>
      <c r="AC11" s="44" t="s">
        <v>17</v>
      </c>
      <c r="AD11" s="44" t="s">
        <v>16</v>
      </c>
      <c r="AE11" s="48" t="s">
        <v>69</v>
      </c>
      <c r="AF11" s="44" t="s">
        <v>14</v>
      </c>
      <c r="AG11" s="44" t="s">
        <v>13</v>
      </c>
      <c r="AH11" s="44" t="s">
        <v>17</v>
      </c>
      <c r="AI11" s="44" t="s">
        <v>16</v>
      </c>
      <c r="AJ11" s="48" t="s">
        <v>69</v>
      </c>
      <c r="AK11" s="44" t="s">
        <v>14</v>
      </c>
      <c r="AL11" s="44" t="s">
        <v>13</v>
      </c>
      <c r="AM11" s="48"/>
    </row>
    <row r="12" spans="1:39" ht="43.2" customHeight="1" x14ac:dyDescent="0.3">
      <c r="A12" s="45"/>
      <c r="B12" s="45" t="s">
        <v>83</v>
      </c>
      <c r="C12" s="45" t="s">
        <v>84</v>
      </c>
      <c r="D12" s="48" t="s">
        <v>13</v>
      </c>
      <c r="E12" s="44" t="s">
        <v>17</v>
      </c>
      <c r="F12" s="44" t="s">
        <v>16</v>
      </c>
      <c r="G12" s="44" t="s">
        <v>69</v>
      </c>
      <c r="H12" s="44" t="s">
        <v>14</v>
      </c>
      <c r="I12" s="48" t="s">
        <v>13</v>
      </c>
      <c r="J12" s="44" t="s">
        <v>17</v>
      </c>
      <c r="K12" s="44" t="s">
        <v>16</v>
      </c>
      <c r="L12" s="44" t="s">
        <v>69</v>
      </c>
      <c r="M12" s="44" t="s">
        <v>14</v>
      </c>
      <c r="N12" s="48" t="s">
        <v>13</v>
      </c>
      <c r="O12" s="44" t="s">
        <v>17</v>
      </c>
      <c r="P12" s="44" t="s">
        <v>16</v>
      </c>
      <c r="Q12" s="44" t="s">
        <v>69</v>
      </c>
      <c r="R12" s="44" t="s">
        <v>14</v>
      </c>
      <c r="S12" s="48" t="s">
        <v>13</v>
      </c>
      <c r="T12" s="44" t="s">
        <v>17</v>
      </c>
      <c r="U12" s="44" t="s">
        <v>16</v>
      </c>
      <c r="V12" s="44" t="s">
        <v>69</v>
      </c>
      <c r="W12" s="44" t="s">
        <v>14</v>
      </c>
      <c r="X12" s="48" t="s">
        <v>13</v>
      </c>
      <c r="Y12" s="44" t="s">
        <v>17</v>
      </c>
      <c r="Z12" s="44" t="s">
        <v>16</v>
      </c>
      <c r="AA12" s="44" t="s">
        <v>69</v>
      </c>
      <c r="AB12" s="44" t="s">
        <v>14</v>
      </c>
      <c r="AC12" s="48" t="s">
        <v>13</v>
      </c>
      <c r="AD12" s="44" t="s">
        <v>17</v>
      </c>
      <c r="AE12" s="44" t="s">
        <v>16</v>
      </c>
      <c r="AF12" s="44" t="s">
        <v>69</v>
      </c>
      <c r="AG12" s="44" t="s">
        <v>14</v>
      </c>
      <c r="AH12" s="48" t="s">
        <v>13</v>
      </c>
      <c r="AI12" s="44" t="s">
        <v>17</v>
      </c>
      <c r="AJ12" s="44" t="s">
        <v>16</v>
      </c>
      <c r="AK12" s="44" t="s">
        <v>69</v>
      </c>
      <c r="AL12" s="44" t="s">
        <v>14</v>
      </c>
      <c r="AM12" s="48"/>
    </row>
    <row r="13" spans="1:39" ht="43.2" customHeight="1" x14ac:dyDescent="0.3">
      <c r="A13" s="45"/>
      <c r="B13" s="45" t="s">
        <v>57</v>
      </c>
      <c r="C13" s="45" t="s">
        <v>89</v>
      </c>
      <c r="D13" s="44" t="s">
        <v>17</v>
      </c>
      <c r="E13" s="44" t="s">
        <v>16</v>
      </c>
      <c r="F13" s="48" t="s">
        <v>69</v>
      </c>
      <c r="G13" s="44" t="s">
        <v>14</v>
      </c>
      <c r="H13" s="44" t="s">
        <v>13</v>
      </c>
      <c r="I13" s="44" t="s">
        <v>17</v>
      </c>
      <c r="J13" s="44" t="s">
        <v>16</v>
      </c>
      <c r="K13" s="48" t="s">
        <v>69</v>
      </c>
      <c r="L13" s="44" t="s">
        <v>14</v>
      </c>
      <c r="M13" s="44" t="s">
        <v>13</v>
      </c>
      <c r="N13" s="44" t="s">
        <v>17</v>
      </c>
      <c r="O13" s="44" t="s">
        <v>16</v>
      </c>
      <c r="P13" s="48" t="s">
        <v>69</v>
      </c>
      <c r="Q13" s="44" t="s">
        <v>14</v>
      </c>
      <c r="R13" s="44" t="s">
        <v>13</v>
      </c>
      <c r="S13" s="44" t="s">
        <v>17</v>
      </c>
      <c r="T13" s="44" t="s">
        <v>16</v>
      </c>
      <c r="U13" s="48" t="s">
        <v>69</v>
      </c>
      <c r="V13" s="44" t="s">
        <v>14</v>
      </c>
      <c r="W13" s="44" t="s">
        <v>13</v>
      </c>
      <c r="X13" s="44" t="s">
        <v>17</v>
      </c>
      <c r="Y13" s="44" t="s">
        <v>16</v>
      </c>
      <c r="Z13" s="48" t="s">
        <v>69</v>
      </c>
      <c r="AA13" s="44" t="s">
        <v>14</v>
      </c>
      <c r="AB13" s="44" t="s">
        <v>13</v>
      </c>
      <c r="AC13" s="44" t="s">
        <v>17</v>
      </c>
      <c r="AD13" s="44" t="s">
        <v>16</v>
      </c>
      <c r="AE13" s="48" t="s">
        <v>69</v>
      </c>
      <c r="AF13" s="44" t="s">
        <v>14</v>
      </c>
      <c r="AG13" s="44" t="s">
        <v>13</v>
      </c>
      <c r="AH13" s="44" t="s">
        <v>17</v>
      </c>
      <c r="AI13" s="44" t="s">
        <v>16</v>
      </c>
      <c r="AJ13" s="48" t="s">
        <v>69</v>
      </c>
      <c r="AK13" s="44" t="s">
        <v>14</v>
      </c>
      <c r="AL13" s="44" t="s">
        <v>13</v>
      </c>
      <c r="AM13" s="48"/>
    </row>
    <row r="14" spans="1:39" ht="43.2" customHeight="1" x14ac:dyDescent="0.3">
      <c r="A14" s="45"/>
      <c r="B14" s="45" t="s">
        <v>80</v>
      </c>
      <c r="C14" s="45" t="s">
        <v>85</v>
      </c>
      <c r="D14" s="48" t="s">
        <v>14</v>
      </c>
      <c r="E14" s="44" t="s">
        <v>13</v>
      </c>
      <c r="F14" s="44" t="s">
        <v>17</v>
      </c>
      <c r="G14" s="44" t="s">
        <v>16</v>
      </c>
      <c r="H14" s="44" t="s">
        <v>69</v>
      </c>
      <c r="I14" s="48" t="s">
        <v>14</v>
      </c>
      <c r="J14" s="44" t="s">
        <v>13</v>
      </c>
      <c r="K14" s="44" t="s">
        <v>17</v>
      </c>
      <c r="L14" s="44" t="s">
        <v>16</v>
      </c>
      <c r="M14" s="44" t="s">
        <v>69</v>
      </c>
      <c r="N14" s="48" t="s">
        <v>14</v>
      </c>
      <c r="O14" s="44" t="s">
        <v>13</v>
      </c>
      <c r="P14" s="44" t="s">
        <v>17</v>
      </c>
      <c r="Q14" s="44" t="s">
        <v>16</v>
      </c>
      <c r="R14" s="44" t="s">
        <v>69</v>
      </c>
      <c r="S14" s="48" t="s">
        <v>14</v>
      </c>
      <c r="T14" s="44" t="s">
        <v>13</v>
      </c>
      <c r="U14" s="44" t="s">
        <v>17</v>
      </c>
      <c r="V14" s="44" t="s">
        <v>16</v>
      </c>
      <c r="W14" s="44" t="s">
        <v>69</v>
      </c>
      <c r="X14" s="48" t="s">
        <v>14</v>
      </c>
      <c r="Y14" s="44" t="s">
        <v>13</v>
      </c>
      <c r="Z14" s="44" t="s">
        <v>17</v>
      </c>
      <c r="AA14" s="44" t="s">
        <v>16</v>
      </c>
      <c r="AB14" s="44" t="s">
        <v>69</v>
      </c>
      <c r="AC14" s="48" t="s">
        <v>14</v>
      </c>
      <c r="AD14" s="44" t="s">
        <v>13</v>
      </c>
      <c r="AE14" s="44" t="s">
        <v>17</v>
      </c>
      <c r="AF14" s="44" t="s">
        <v>16</v>
      </c>
      <c r="AG14" s="44" t="s">
        <v>69</v>
      </c>
      <c r="AH14" s="48" t="s">
        <v>14</v>
      </c>
      <c r="AI14" s="44" t="s">
        <v>13</v>
      </c>
      <c r="AJ14" s="44" t="s">
        <v>17</v>
      </c>
      <c r="AK14" s="44" t="s">
        <v>16</v>
      </c>
      <c r="AL14" s="44" t="s">
        <v>69</v>
      </c>
      <c r="AM14" s="48"/>
    </row>
    <row r="15" spans="1:39" ht="43.2" customHeight="1" x14ac:dyDescent="0.3">
      <c r="A15" s="45"/>
      <c r="B15" s="45" t="s">
        <v>81</v>
      </c>
      <c r="C15" s="45" t="s">
        <v>92</v>
      </c>
      <c r="D15" s="48" t="s">
        <v>13</v>
      </c>
      <c r="E15" s="44" t="s">
        <v>17</v>
      </c>
      <c r="F15" s="44" t="s">
        <v>16</v>
      </c>
      <c r="G15" s="44" t="s">
        <v>69</v>
      </c>
      <c r="H15" s="44" t="s">
        <v>14</v>
      </c>
      <c r="I15" s="48" t="s">
        <v>13</v>
      </c>
      <c r="J15" s="44" t="s">
        <v>17</v>
      </c>
      <c r="K15" s="44" t="s">
        <v>16</v>
      </c>
      <c r="L15" s="44" t="s">
        <v>69</v>
      </c>
      <c r="M15" s="44" t="s">
        <v>14</v>
      </c>
      <c r="N15" s="48" t="s">
        <v>13</v>
      </c>
      <c r="O15" s="44" t="s">
        <v>17</v>
      </c>
      <c r="P15" s="44" t="s">
        <v>16</v>
      </c>
      <c r="Q15" s="44" t="s">
        <v>69</v>
      </c>
      <c r="R15" s="44" t="s">
        <v>14</v>
      </c>
      <c r="S15" s="48" t="s">
        <v>13</v>
      </c>
      <c r="T15" s="44" t="s">
        <v>17</v>
      </c>
      <c r="U15" s="44" t="s">
        <v>16</v>
      </c>
      <c r="V15" s="44" t="s">
        <v>69</v>
      </c>
      <c r="W15" s="44" t="s">
        <v>14</v>
      </c>
      <c r="X15" s="48" t="s">
        <v>13</v>
      </c>
      <c r="Y15" s="44" t="s">
        <v>17</v>
      </c>
      <c r="Z15" s="44" t="s">
        <v>16</v>
      </c>
      <c r="AA15" s="44" t="s">
        <v>69</v>
      </c>
      <c r="AB15" s="44" t="s">
        <v>14</v>
      </c>
      <c r="AC15" s="48" t="s">
        <v>13</v>
      </c>
      <c r="AD15" s="44" t="s">
        <v>17</v>
      </c>
      <c r="AE15" s="44" t="s">
        <v>16</v>
      </c>
      <c r="AF15" s="44" t="s">
        <v>69</v>
      </c>
      <c r="AG15" s="44" t="s">
        <v>14</v>
      </c>
      <c r="AH15" s="48" t="s">
        <v>13</v>
      </c>
      <c r="AI15" s="44" t="s">
        <v>17</v>
      </c>
      <c r="AJ15" s="44" t="s">
        <v>16</v>
      </c>
      <c r="AK15" s="44" t="s">
        <v>69</v>
      </c>
      <c r="AL15" s="44" t="s">
        <v>14</v>
      </c>
      <c r="AM15" s="48"/>
    </row>
    <row r="16" spans="1:39" ht="43.2" customHeight="1" x14ac:dyDescent="0.3">
      <c r="A16" s="45"/>
      <c r="B16" s="45" t="s">
        <v>82</v>
      </c>
      <c r="C16" s="45" t="s">
        <v>91</v>
      </c>
      <c r="D16" s="44" t="s">
        <v>16</v>
      </c>
      <c r="E16" s="48" t="s">
        <v>69</v>
      </c>
      <c r="F16" s="44" t="s">
        <v>14</v>
      </c>
      <c r="G16" s="44" t="s">
        <v>13</v>
      </c>
      <c r="H16" s="44" t="s">
        <v>17</v>
      </c>
      <c r="I16" s="44" t="s">
        <v>16</v>
      </c>
      <c r="J16" s="48" t="s">
        <v>69</v>
      </c>
      <c r="K16" s="44" t="s">
        <v>14</v>
      </c>
      <c r="L16" s="44" t="s">
        <v>13</v>
      </c>
      <c r="M16" s="44" t="s">
        <v>17</v>
      </c>
      <c r="N16" s="44" t="s">
        <v>16</v>
      </c>
      <c r="O16" s="48" t="s">
        <v>69</v>
      </c>
      <c r="P16" s="44" t="s">
        <v>14</v>
      </c>
      <c r="Q16" s="44" t="s">
        <v>13</v>
      </c>
      <c r="R16" s="44" t="s">
        <v>17</v>
      </c>
      <c r="S16" s="44" t="s">
        <v>16</v>
      </c>
      <c r="T16" s="48" t="s">
        <v>69</v>
      </c>
      <c r="U16" s="44" t="s">
        <v>14</v>
      </c>
      <c r="V16" s="44" t="s">
        <v>13</v>
      </c>
      <c r="W16" s="44" t="s">
        <v>17</v>
      </c>
      <c r="X16" s="44" t="s">
        <v>16</v>
      </c>
      <c r="Y16" s="48" t="s">
        <v>69</v>
      </c>
      <c r="Z16" s="44" t="s">
        <v>14</v>
      </c>
      <c r="AA16" s="44" t="s">
        <v>13</v>
      </c>
      <c r="AB16" s="44" t="s">
        <v>17</v>
      </c>
      <c r="AC16" s="44" t="s">
        <v>16</v>
      </c>
      <c r="AD16" s="48" t="s">
        <v>69</v>
      </c>
      <c r="AE16" s="44" t="s">
        <v>14</v>
      </c>
      <c r="AF16" s="44" t="s">
        <v>13</v>
      </c>
      <c r="AG16" s="44" t="s">
        <v>17</v>
      </c>
      <c r="AH16" s="44" t="s">
        <v>16</v>
      </c>
      <c r="AI16" s="48" t="s">
        <v>69</v>
      </c>
      <c r="AJ16" s="44" t="s">
        <v>14</v>
      </c>
      <c r="AK16" s="44" t="s">
        <v>13</v>
      </c>
      <c r="AL16" s="44" t="s">
        <v>17</v>
      </c>
      <c r="AM16" s="48"/>
    </row>
    <row r="17" spans="1:39" ht="43.2" customHeight="1" x14ac:dyDescent="0.3">
      <c r="A17" s="45"/>
      <c r="B17" s="45" t="s">
        <v>83</v>
      </c>
      <c r="C17" s="45" t="s">
        <v>88</v>
      </c>
      <c r="D17" s="44" t="s">
        <v>17</v>
      </c>
      <c r="E17" s="44" t="s">
        <v>16</v>
      </c>
      <c r="F17" s="48" t="s">
        <v>69</v>
      </c>
      <c r="G17" s="44" t="s">
        <v>14</v>
      </c>
      <c r="H17" s="44" t="s">
        <v>13</v>
      </c>
      <c r="I17" s="44" t="s">
        <v>17</v>
      </c>
      <c r="J17" s="44" t="s">
        <v>16</v>
      </c>
      <c r="K17" s="48" t="s">
        <v>69</v>
      </c>
      <c r="L17" s="44" t="s">
        <v>14</v>
      </c>
      <c r="M17" s="44" t="s">
        <v>13</v>
      </c>
      <c r="N17" s="44" t="s">
        <v>17</v>
      </c>
      <c r="O17" s="44" t="s">
        <v>16</v>
      </c>
      <c r="P17" s="48" t="s">
        <v>69</v>
      </c>
      <c r="Q17" s="44" t="s">
        <v>14</v>
      </c>
      <c r="R17" s="44" t="s">
        <v>13</v>
      </c>
      <c r="S17" s="44" t="s">
        <v>17</v>
      </c>
      <c r="T17" s="44" t="s">
        <v>16</v>
      </c>
      <c r="U17" s="48" t="s">
        <v>69</v>
      </c>
      <c r="V17" s="44" t="s">
        <v>14</v>
      </c>
      <c r="W17" s="44" t="s">
        <v>13</v>
      </c>
      <c r="X17" s="44" t="s">
        <v>17</v>
      </c>
      <c r="Y17" s="44" t="s">
        <v>16</v>
      </c>
      <c r="Z17" s="48" t="s">
        <v>69</v>
      </c>
      <c r="AA17" s="44" t="s">
        <v>14</v>
      </c>
      <c r="AB17" s="44" t="s">
        <v>13</v>
      </c>
      <c r="AC17" s="44" t="s">
        <v>17</v>
      </c>
      <c r="AD17" s="44" t="s">
        <v>16</v>
      </c>
      <c r="AE17" s="48" t="s">
        <v>69</v>
      </c>
      <c r="AF17" s="44" t="s">
        <v>14</v>
      </c>
      <c r="AG17" s="44" t="s">
        <v>13</v>
      </c>
      <c r="AH17" s="44" t="s">
        <v>17</v>
      </c>
      <c r="AI17" s="44" t="s">
        <v>16</v>
      </c>
      <c r="AJ17" s="48" t="s">
        <v>69</v>
      </c>
      <c r="AK17" s="44" t="s">
        <v>14</v>
      </c>
      <c r="AL17" s="44" t="s">
        <v>13</v>
      </c>
      <c r="AM17" s="48"/>
    </row>
    <row r="18" spans="1:39" ht="43.2" customHeight="1" x14ac:dyDescent="0.3">
      <c r="A18" s="45"/>
      <c r="B18" s="45" t="s">
        <v>72</v>
      </c>
      <c r="C18" s="45" t="s">
        <v>93</v>
      </c>
      <c r="D18" s="48" t="s">
        <v>69</v>
      </c>
      <c r="E18" s="44" t="s">
        <v>14</v>
      </c>
      <c r="F18" s="44" t="s">
        <v>13</v>
      </c>
      <c r="G18" s="44" t="s">
        <v>17</v>
      </c>
      <c r="H18" s="44" t="s">
        <v>16</v>
      </c>
      <c r="I18" s="48" t="s">
        <v>69</v>
      </c>
      <c r="J18" s="44" t="s">
        <v>14</v>
      </c>
      <c r="K18" s="44" t="s">
        <v>13</v>
      </c>
      <c r="L18" s="44" t="s">
        <v>17</v>
      </c>
      <c r="M18" s="44" t="s">
        <v>16</v>
      </c>
      <c r="N18" s="48" t="s">
        <v>69</v>
      </c>
      <c r="O18" s="44" t="s">
        <v>14</v>
      </c>
      <c r="P18" s="44" t="s">
        <v>13</v>
      </c>
      <c r="Q18" s="44" t="s">
        <v>17</v>
      </c>
      <c r="R18" s="44" t="s">
        <v>16</v>
      </c>
      <c r="S18" s="48" t="s">
        <v>69</v>
      </c>
      <c r="T18" s="44" t="s">
        <v>14</v>
      </c>
      <c r="U18" s="44" t="s">
        <v>13</v>
      </c>
      <c r="V18" s="44" t="s">
        <v>17</v>
      </c>
      <c r="W18" s="44" t="s">
        <v>16</v>
      </c>
      <c r="X18" s="48" t="s">
        <v>69</v>
      </c>
      <c r="Y18" s="44" t="s">
        <v>14</v>
      </c>
      <c r="Z18" s="44" t="s">
        <v>13</v>
      </c>
      <c r="AA18" s="44" t="s">
        <v>17</v>
      </c>
      <c r="AB18" s="44" t="s">
        <v>16</v>
      </c>
      <c r="AC18" s="48" t="s">
        <v>69</v>
      </c>
      <c r="AD18" s="44" t="s">
        <v>14</v>
      </c>
      <c r="AE18" s="44" t="s">
        <v>13</v>
      </c>
      <c r="AF18" s="44" t="s">
        <v>17</v>
      </c>
      <c r="AG18" s="44" t="s">
        <v>16</v>
      </c>
      <c r="AH18" s="48" t="s">
        <v>69</v>
      </c>
      <c r="AI18" s="44" t="s">
        <v>14</v>
      </c>
      <c r="AJ18" s="44" t="s">
        <v>13</v>
      </c>
      <c r="AK18" s="44" t="s">
        <v>17</v>
      </c>
      <c r="AL18" s="44" t="s">
        <v>16</v>
      </c>
      <c r="AM18" s="48"/>
    </row>
    <row r="19" spans="1:39" ht="43.2" customHeight="1" x14ac:dyDescent="0.3">
      <c r="A19" s="45"/>
      <c r="B19" s="45" t="s">
        <v>83</v>
      </c>
      <c r="C19" s="45" t="s">
        <v>94</v>
      </c>
      <c r="D19" s="44" t="s">
        <v>16</v>
      </c>
      <c r="E19" s="48" t="s">
        <v>69</v>
      </c>
      <c r="F19" s="44" t="s">
        <v>14</v>
      </c>
      <c r="G19" s="44" t="s">
        <v>13</v>
      </c>
      <c r="H19" s="44" t="s">
        <v>17</v>
      </c>
      <c r="I19" s="44" t="s">
        <v>16</v>
      </c>
      <c r="J19" s="48" t="s">
        <v>69</v>
      </c>
      <c r="K19" s="44" t="s">
        <v>14</v>
      </c>
      <c r="L19" s="44" t="s">
        <v>13</v>
      </c>
      <c r="M19" s="44" t="s">
        <v>17</v>
      </c>
      <c r="N19" s="44" t="s">
        <v>16</v>
      </c>
      <c r="O19" s="48" t="s">
        <v>69</v>
      </c>
      <c r="P19" s="44" t="s">
        <v>14</v>
      </c>
      <c r="Q19" s="44" t="s">
        <v>13</v>
      </c>
      <c r="R19" s="44" t="s">
        <v>17</v>
      </c>
      <c r="S19" s="44" t="s">
        <v>16</v>
      </c>
      <c r="T19" s="48" t="s">
        <v>69</v>
      </c>
      <c r="U19" s="44" t="s">
        <v>14</v>
      </c>
      <c r="V19" s="44" t="s">
        <v>13</v>
      </c>
      <c r="W19" s="44" t="s">
        <v>17</v>
      </c>
      <c r="X19" s="44" t="s">
        <v>16</v>
      </c>
      <c r="Y19" s="48" t="s">
        <v>69</v>
      </c>
      <c r="Z19" s="44" t="s">
        <v>14</v>
      </c>
      <c r="AA19" s="44" t="s">
        <v>13</v>
      </c>
      <c r="AB19" s="44" t="s">
        <v>17</v>
      </c>
      <c r="AC19" s="44" t="s">
        <v>16</v>
      </c>
      <c r="AD19" s="48" t="s">
        <v>69</v>
      </c>
      <c r="AE19" s="44" t="s">
        <v>14</v>
      </c>
      <c r="AF19" s="44" t="s">
        <v>13</v>
      </c>
      <c r="AG19" s="44" t="s">
        <v>17</v>
      </c>
      <c r="AH19" s="44" t="s">
        <v>16</v>
      </c>
      <c r="AI19" s="48" t="s">
        <v>69</v>
      </c>
      <c r="AJ19" s="44" t="s">
        <v>14</v>
      </c>
      <c r="AK19" s="44" t="s">
        <v>13</v>
      </c>
      <c r="AL19" s="44" t="s">
        <v>17</v>
      </c>
      <c r="AM19" s="48"/>
    </row>
    <row r="20" spans="1:39" ht="43.2" customHeight="1" x14ac:dyDescent="0.3">
      <c r="A20" s="45"/>
      <c r="B20" s="45" t="s">
        <v>77</v>
      </c>
      <c r="C20" s="45" t="s">
        <v>95</v>
      </c>
      <c r="D20" s="48" t="s">
        <v>13</v>
      </c>
      <c r="E20" s="44" t="s">
        <v>17</v>
      </c>
      <c r="F20" s="44" t="s">
        <v>16</v>
      </c>
      <c r="G20" s="44" t="s">
        <v>69</v>
      </c>
      <c r="H20" s="44" t="s">
        <v>14</v>
      </c>
      <c r="I20" s="48" t="s">
        <v>13</v>
      </c>
      <c r="J20" s="44" t="s">
        <v>17</v>
      </c>
      <c r="K20" s="44" t="s">
        <v>16</v>
      </c>
      <c r="L20" s="44" t="s">
        <v>69</v>
      </c>
      <c r="M20" s="44" t="s">
        <v>14</v>
      </c>
      <c r="N20" s="48" t="s">
        <v>13</v>
      </c>
      <c r="O20" s="44" t="s">
        <v>17</v>
      </c>
      <c r="P20" s="44" t="s">
        <v>16</v>
      </c>
      <c r="Q20" s="44" t="s">
        <v>69</v>
      </c>
      <c r="R20" s="44" t="s">
        <v>14</v>
      </c>
      <c r="S20" s="48" t="s">
        <v>13</v>
      </c>
      <c r="T20" s="44" t="s">
        <v>17</v>
      </c>
      <c r="U20" s="44" t="s">
        <v>16</v>
      </c>
      <c r="V20" s="44" t="s">
        <v>69</v>
      </c>
      <c r="W20" s="44" t="s">
        <v>14</v>
      </c>
      <c r="X20" s="48" t="s">
        <v>13</v>
      </c>
      <c r="Y20" s="44" t="s">
        <v>17</v>
      </c>
      <c r="Z20" s="44" t="s">
        <v>16</v>
      </c>
      <c r="AA20" s="44" t="s">
        <v>69</v>
      </c>
      <c r="AB20" s="44" t="s">
        <v>14</v>
      </c>
      <c r="AC20" s="48" t="s">
        <v>13</v>
      </c>
      <c r="AD20" s="44" t="s">
        <v>17</v>
      </c>
      <c r="AE20" s="44" t="s">
        <v>16</v>
      </c>
      <c r="AF20" s="44" t="s">
        <v>69</v>
      </c>
      <c r="AG20" s="44" t="s">
        <v>14</v>
      </c>
      <c r="AH20" s="48" t="s">
        <v>13</v>
      </c>
      <c r="AI20" s="44" t="s">
        <v>17</v>
      </c>
      <c r="AJ20" s="44" t="s">
        <v>16</v>
      </c>
      <c r="AK20" s="44" t="s">
        <v>69</v>
      </c>
      <c r="AL20" s="44" t="s">
        <v>14</v>
      </c>
      <c r="AM20" s="48"/>
    </row>
    <row r="21" spans="1:39" ht="43.2" customHeight="1" x14ac:dyDescent="0.3">
      <c r="A21" s="45"/>
      <c r="B21" s="45" t="s">
        <v>79</v>
      </c>
      <c r="C21" s="45" t="s">
        <v>89</v>
      </c>
      <c r="D21" s="44" t="s">
        <v>16</v>
      </c>
      <c r="E21" s="48" t="s">
        <v>69</v>
      </c>
      <c r="F21" s="44" t="s">
        <v>14</v>
      </c>
      <c r="G21" s="44" t="s">
        <v>13</v>
      </c>
      <c r="H21" s="44" t="s">
        <v>17</v>
      </c>
      <c r="I21" s="44" t="s">
        <v>16</v>
      </c>
      <c r="J21" s="48" t="s">
        <v>69</v>
      </c>
      <c r="K21" s="44" t="s">
        <v>14</v>
      </c>
      <c r="L21" s="44" t="s">
        <v>13</v>
      </c>
      <c r="M21" s="44" t="s">
        <v>17</v>
      </c>
      <c r="N21" s="44" t="s">
        <v>16</v>
      </c>
      <c r="O21" s="48" t="s">
        <v>69</v>
      </c>
      <c r="P21" s="44" t="s">
        <v>14</v>
      </c>
      <c r="Q21" s="44" t="s">
        <v>13</v>
      </c>
      <c r="R21" s="44" t="s">
        <v>17</v>
      </c>
      <c r="S21" s="44" t="s">
        <v>16</v>
      </c>
      <c r="T21" s="48" t="s">
        <v>69</v>
      </c>
      <c r="U21" s="44" t="s">
        <v>14</v>
      </c>
      <c r="V21" s="44" t="s">
        <v>13</v>
      </c>
      <c r="W21" s="44" t="s">
        <v>17</v>
      </c>
      <c r="X21" s="44" t="s">
        <v>16</v>
      </c>
      <c r="Y21" s="48" t="s">
        <v>69</v>
      </c>
      <c r="Z21" s="44" t="s">
        <v>14</v>
      </c>
      <c r="AA21" s="44" t="s">
        <v>13</v>
      </c>
      <c r="AB21" s="44" t="s">
        <v>17</v>
      </c>
      <c r="AC21" s="44" t="s">
        <v>16</v>
      </c>
      <c r="AD21" s="48" t="s">
        <v>69</v>
      </c>
      <c r="AE21" s="44" t="s">
        <v>14</v>
      </c>
      <c r="AF21" s="44" t="s">
        <v>13</v>
      </c>
      <c r="AG21" s="44" t="s">
        <v>17</v>
      </c>
      <c r="AH21" s="44" t="s">
        <v>16</v>
      </c>
      <c r="AI21" s="48" t="s">
        <v>69</v>
      </c>
      <c r="AJ21" s="44" t="s">
        <v>14</v>
      </c>
      <c r="AK21" s="44" t="s">
        <v>13</v>
      </c>
      <c r="AL21" s="44" t="s">
        <v>17</v>
      </c>
      <c r="AM21" s="4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76AB-0C9A-45D7-8FB8-4D4B5EAC57F0}">
  <dimension ref="A1:J6"/>
  <sheetViews>
    <sheetView topLeftCell="D1" zoomScale="70" zoomScaleNormal="70" workbookViewId="0">
      <selection activeCell="F1" sqref="F1:J6"/>
    </sheetView>
  </sheetViews>
  <sheetFormatPr defaultRowHeight="14.4" x14ac:dyDescent="0.3"/>
  <cols>
    <col min="1" max="1" width="14.88671875" customWidth="1"/>
    <col min="2" max="2" width="7.5546875" customWidth="1"/>
    <col min="3" max="3" width="6.33203125" customWidth="1"/>
    <col min="6" max="8" width="20.77734375" customWidth="1"/>
    <col min="9" max="9" width="22.77734375" customWidth="1"/>
    <col min="10" max="10" width="20.77734375" customWidth="1"/>
  </cols>
  <sheetData>
    <row r="1" spans="1:10" ht="17.399999999999999" x14ac:dyDescent="0.3">
      <c r="A1" s="53" t="s">
        <v>9</v>
      </c>
      <c r="B1" s="53" t="s">
        <v>98</v>
      </c>
      <c r="C1" s="53" t="s">
        <v>99</v>
      </c>
      <c r="F1" s="79" t="s">
        <v>96</v>
      </c>
      <c r="G1" s="79"/>
      <c r="H1" s="79"/>
      <c r="I1" s="79"/>
      <c r="J1" s="79"/>
    </row>
    <row r="2" spans="1:10" ht="19.95" customHeight="1" x14ac:dyDescent="0.3">
      <c r="A2" s="43" t="s">
        <v>17</v>
      </c>
      <c r="B2" s="43">
        <v>1</v>
      </c>
      <c r="C2" s="43">
        <v>5</v>
      </c>
      <c r="F2" s="50" t="s">
        <v>17</v>
      </c>
      <c r="G2" s="50" t="s">
        <v>16</v>
      </c>
      <c r="H2" s="51" t="s">
        <v>69</v>
      </c>
      <c r="I2" s="50" t="s">
        <v>14</v>
      </c>
      <c r="J2" s="50" t="s">
        <v>13</v>
      </c>
    </row>
    <row r="3" spans="1:10" ht="19.95" customHeight="1" x14ac:dyDescent="0.3">
      <c r="A3" s="43" t="s">
        <v>16</v>
      </c>
      <c r="B3" s="43">
        <v>2</v>
      </c>
      <c r="C3" s="43">
        <v>4</v>
      </c>
      <c r="F3" s="52">
        <v>1</v>
      </c>
      <c r="G3" s="52">
        <v>2</v>
      </c>
      <c r="H3" s="52">
        <v>3</v>
      </c>
      <c r="I3" s="52">
        <v>4</v>
      </c>
      <c r="J3" s="52">
        <v>5</v>
      </c>
    </row>
    <row r="4" spans="1:10" ht="19.95" customHeight="1" x14ac:dyDescent="0.3">
      <c r="A4" s="43" t="s">
        <v>69</v>
      </c>
      <c r="B4" s="43">
        <v>3</v>
      </c>
      <c r="C4" s="43">
        <v>3</v>
      </c>
      <c r="F4" s="79" t="s">
        <v>97</v>
      </c>
      <c r="G4" s="79"/>
      <c r="H4" s="79"/>
      <c r="I4" s="79"/>
      <c r="J4" s="79"/>
    </row>
    <row r="5" spans="1:10" ht="19.95" customHeight="1" x14ac:dyDescent="0.3">
      <c r="A5" s="43" t="s">
        <v>14</v>
      </c>
      <c r="B5" s="43">
        <v>4</v>
      </c>
      <c r="C5" s="43">
        <v>2</v>
      </c>
      <c r="F5" s="50" t="s">
        <v>17</v>
      </c>
      <c r="G5" s="50" t="s">
        <v>16</v>
      </c>
      <c r="H5" s="51" t="s">
        <v>69</v>
      </c>
      <c r="I5" s="50" t="s">
        <v>14</v>
      </c>
      <c r="J5" s="50" t="s">
        <v>13</v>
      </c>
    </row>
    <row r="6" spans="1:10" ht="19.95" customHeight="1" x14ac:dyDescent="0.3">
      <c r="A6" s="43" t="s">
        <v>13</v>
      </c>
      <c r="B6" s="43">
        <v>5</v>
      </c>
      <c r="C6" s="43">
        <v>1</v>
      </c>
      <c r="F6" s="52">
        <v>5</v>
      </c>
      <c r="G6" s="52">
        <v>4</v>
      </c>
      <c r="H6" s="52">
        <v>3</v>
      </c>
      <c r="I6" s="52">
        <v>2</v>
      </c>
      <c r="J6" s="52">
        <v>1</v>
      </c>
    </row>
  </sheetData>
  <mergeCells count="2">
    <mergeCell ref="F1:J1"/>
    <mergeCell ref="F4:J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02B9-2B79-4CBB-81FD-F44A97CA07FD}">
  <dimension ref="A1:A23"/>
  <sheetViews>
    <sheetView zoomScale="70" zoomScaleNormal="70" workbookViewId="0">
      <selection activeCell="A3" sqref="A3"/>
    </sheetView>
  </sheetViews>
  <sheetFormatPr defaultRowHeight="14.4" x14ac:dyDescent="0.3"/>
  <cols>
    <col min="1" max="1" width="133.77734375" bestFit="1" customWidth="1"/>
  </cols>
  <sheetData>
    <row r="1" spans="1:1" ht="19.8" x14ac:dyDescent="0.3">
      <c r="A1" s="41" t="s">
        <v>65</v>
      </c>
    </row>
    <row r="2" spans="1:1" ht="15.6" x14ac:dyDescent="0.3">
      <c r="A2" s="65" t="s">
        <v>6</v>
      </c>
    </row>
    <row r="3" spans="1:1" ht="15.6" x14ac:dyDescent="0.3">
      <c r="A3" s="42" t="s">
        <v>100</v>
      </c>
    </row>
    <row r="4" spans="1:1" ht="15.6" x14ac:dyDescent="0.3">
      <c r="A4" s="42"/>
    </row>
    <row r="5" spans="1:1" ht="15.6" x14ac:dyDescent="0.3">
      <c r="A5" s="65" t="s">
        <v>5</v>
      </c>
    </row>
    <row r="6" spans="1:1" ht="15.6" x14ac:dyDescent="0.3">
      <c r="A6" s="42" t="s">
        <v>101</v>
      </c>
    </row>
    <row r="7" spans="1:1" ht="15.6" x14ac:dyDescent="0.3">
      <c r="A7" s="42"/>
    </row>
    <row r="8" spans="1:1" ht="15.6" x14ac:dyDescent="0.3">
      <c r="A8" s="65" t="s">
        <v>4</v>
      </c>
    </row>
    <row r="9" spans="1:1" ht="15.6" x14ac:dyDescent="0.3">
      <c r="A9" s="42" t="s">
        <v>102</v>
      </c>
    </row>
    <row r="10" spans="1:1" ht="15.6" x14ac:dyDescent="0.3">
      <c r="A10" s="42"/>
    </row>
    <row r="11" spans="1:1" ht="15.6" x14ac:dyDescent="0.3">
      <c r="A11" s="65" t="s">
        <v>3</v>
      </c>
    </row>
    <row r="12" spans="1:1" ht="15.6" x14ac:dyDescent="0.3">
      <c r="A12" s="42" t="s">
        <v>103</v>
      </c>
    </row>
    <row r="13" spans="1:1" ht="15.6" x14ac:dyDescent="0.3">
      <c r="A13" s="42"/>
    </row>
    <row r="14" spans="1:1" ht="15.6" x14ac:dyDescent="0.3">
      <c r="A14" s="65" t="s">
        <v>2</v>
      </c>
    </row>
    <row r="15" spans="1:1" ht="15.6" x14ac:dyDescent="0.3">
      <c r="A15" s="42" t="s">
        <v>104</v>
      </c>
    </row>
    <row r="16" spans="1:1" ht="15.6" x14ac:dyDescent="0.3">
      <c r="A16" s="42"/>
    </row>
    <row r="17" spans="1:1" ht="15.6" x14ac:dyDescent="0.3">
      <c r="A17" s="65" t="s">
        <v>67</v>
      </c>
    </row>
    <row r="18" spans="1:1" ht="15.6" x14ac:dyDescent="0.3">
      <c r="A18" s="42" t="s">
        <v>105</v>
      </c>
    </row>
    <row r="19" spans="1:1" ht="15.6" x14ac:dyDescent="0.3">
      <c r="A19" s="42"/>
    </row>
    <row r="20" spans="1:1" ht="15.6" x14ac:dyDescent="0.3">
      <c r="A20" s="65" t="s">
        <v>68</v>
      </c>
    </row>
    <row r="21" spans="1:1" ht="15.6" x14ac:dyDescent="0.3">
      <c r="A21" s="42" t="s">
        <v>106</v>
      </c>
    </row>
    <row r="22" spans="1:1" ht="15.6" x14ac:dyDescent="0.3">
      <c r="A22" s="42"/>
    </row>
    <row r="23" spans="1:1" ht="15.6" x14ac:dyDescent="0.3">
      <c r="A23" s="42"/>
    </row>
  </sheetData>
  <conditionalFormatting sqref="A1:A23">
    <cfRule type="duplicateValues" dxfId="3" priority="13"/>
    <cfRule type="duplicateValues" dxfId="2" priority="14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8D2-40AF-4FBA-8536-14140078AF3A}">
  <dimension ref="A2:A21"/>
  <sheetViews>
    <sheetView tabSelected="1" workbookViewId="0">
      <selection activeCell="C20" sqref="C20"/>
    </sheetView>
  </sheetViews>
  <sheetFormatPr defaultRowHeight="14.4" x14ac:dyDescent="0.3"/>
  <cols>
    <col min="1" max="1" width="46.44140625" bestFit="1" customWidth="1"/>
    <col min="2" max="2" width="18.33203125" customWidth="1"/>
    <col min="3" max="3" width="35" customWidth="1"/>
    <col min="4" max="4" width="20.77734375" customWidth="1"/>
    <col min="5" max="5" width="22.33203125" customWidth="1"/>
  </cols>
  <sheetData>
    <row r="2" spans="1:1" ht="15.6" x14ac:dyDescent="0.3">
      <c r="A2" s="65" t="s">
        <v>143</v>
      </c>
    </row>
    <row r="3" spans="1:1" s="67" customFormat="1" x14ac:dyDescent="0.3"/>
    <row r="4" spans="1:1" ht="15.6" x14ac:dyDescent="0.3">
      <c r="A4" s="42"/>
    </row>
    <row r="5" spans="1:1" ht="15.6" x14ac:dyDescent="0.3">
      <c r="A5" s="65" t="s">
        <v>5</v>
      </c>
    </row>
    <row r="7" spans="1:1" ht="15.6" x14ac:dyDescent="0.3">
      <c r="A7" s="42"/>
    </row>
    <row r="8" spans="1:1" ht="15.6" x14ac:dyDescent="0.3">
      <c r="A8" s="65" t="s">
        <v>4</v>
      </c>
    </row>
    <row r="9" spans="1:1" ht="15.6" x14ac:dyDescent="0.3">
      <c r="A9" s="42"/>
    </row>
    <row r="10" spans="1:1" ht="15.6" x14ac:dyDescent="0.3">
      <c r="A10" s="42"/>
    </row>
    <row r="11" spans="1:1" ht="15.6" x14ac:dyDescent="0.3">
      <c r="A11" s="65" t="s">
        <v>3</v>
      </c>
    </row>
    <row r="12" spans="1:1" ht="15.6" x14ac:dyDescent="0.3">
      <c r="A12" s="42"/>
    </row>
    <row r="13" spans="1:1" ht="15.6" x14ac:dyDescent="0.3">
      <c r="A13" s="42"/>
    </row>
    <row r="14" spans="1:1" ht="15.6" x14ac:dyDescent="0.3">
      <c r="A14" s="65" t="s">
        <v>144</v>
      </c>
    </row>
    <row r="15" spans="1:1" ht="15.6" x14ac:dyDescent="0.3">
      <c r="A15" s="42"/>
    </row>
    <row r="16" spans="1:1" ht="15.6" x14ac:dyDescent="0.3">
      <c r="A16" s="42"/>
    </row>
    <row r="17" spans="1:1" ht="15.6" x14ac:dyDescent="0.3">
      <c r="A17" s="65" t="s">
        <v>67</v>
      </c>
    </row>
    <row r="18" spans="1:1" ht="15.6" x14ac:dyDescent="0.3">
      <c r="A18" s="42"/>
    </row>
    <row r="19" spans="1:1" ht="15.6" x14ac:dyDescent="0.3">
      <c r="A19" s="42"/>
    </row>
    <row r="20" spans="1:1" ht="15.6" x14ac:dyDescent="0.3">
      <c r="A20" s="65" t="s">
        <v>68</v>
      </c>
    </row>
    <row r="21" spans="1:1" ht="15.6" x14ac:dyDescent="0.3">
      <c r="A21" s="42"/>
    </row>
  </sheetData>
  <conditionalFormatting sqref="A4:A5 A7:A21 A2">
    <cfRule type="duplicateValues" dxfId="1" priority="27"/>
    <cfRule type="duplicateValues" dxfId="0" priority="28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1638F995AB344DAE89209239E44B66" ma:contentTypeVersion="12" ma:contentTypeDescription="Crie um novo documento." ma:contentTypeScope="" ma:versionID="189658654ccc9bd6c8c5a9844a1025ad">
  <xsd:schema xmlns:xsd="http://www.w3.org/2001/XMLSchema" xmlns:xs="http://www.w3.org/2001/XMLSchema" xmlns:p="http://schemas.microsoft.com/office/2006/metadata/properties" xmlns:ns2="5a1675e3-faad-4d31-8e22-53e88e67477c" xmlns:ns3="7c5f05fd-6826-49d2-b31a-22dede141aeb" targetNamespace="http://schemas.microsoft.com/office/2006/metadata/properties" ma:root="true" ma:fieldsID="49e41b7f548550efbc51c2bc36f58b8f" ns2:_="" ns3:_="">
    <xsd:import namespace="5a1675e3-faad-4d31-8e22-53e88e67477c"/>
    <xsd:import namespace="7c5f05fd-6826-49d2-b31a-22dede141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675e3-faad-4d31-8e22-53e88e674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6ea828-ee11-446e-95b9-ad31c686fb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f05fd-6826-49d2-b31a-22dede141ae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7ea734-49b5-4466-9617-298a45573419}" ma:internalName="TaxCatchAll" ma:showField="CatchAllData" ma:web="7c5f05fd-6826-49d2-b31a-22dede141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5f05fd-6826-49d2-b31a-22dede141aeb" xsi:nil="true"/>
    <lcf76f155ced4ddcb4097134ff3c332f xmlns="5a1675e3-faad-4d31-8e22-53e88e6747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BC1759-8AB0-4D06-B20C-113925E13C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1675e3-faad-4d31-8e22-53e88e67477c"/>
    <ds:schemaRef ds:uri="7c5f05fd-6826-49d2-b31a-22dede141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66454A-4F99-45F3-A0E8-B5CCEA7A0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B7DBF-5D22-46EC-8E82-F294037AFEEE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d5cdef5-1813-4858-b018-f1e7a87d504a"/>
    <ds:schemaRef ds:uri="http://purl.org/dc/elements/1.1/"/>
    <ds:schemaRef ds:uri="http://schemas.microsoft.com/office/2006/metadata/properties"/>
    <ds:schemaRef ds:uri="04d8ee2f-6b7b-4bba-a889-49afafb823b1"/>
    <ds:schemaRef ds:uri="http://www.w3.org/XML/1998/namespace"/>
    <ds:schemaRef ds:uri="7c5f05fd-6826-49d2-b31a-22dede141aeb"/>
    <ds:schemaRef ds:uri="5a1675e3-faad-4d31-8e22-53e88e6747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HSE-IT</vt:lpstr>
      <vt:lpstr>Perguntas</vt:lpstr>
      <vt:lpstr>Simulação</vt:lpstr>
      <vt:lpstr>Critério de pontuação</vt:lpstr>
      <vt:lpstr>Descrição</vt:lpstr>
      <vt:lpstr>Planos de ação</vt:lpstr>
      <vt:lpstr>'HSE-IT'!Area_de_impressao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NEVES</dc:creator>
  <cp:lastModifiedBy>Renato Rossetti Vallim de Castro</cp:lastModifiedBy>
  <cp:lastPrinted>2024-11-24T14:26:26Z</cp:lastPrinted>
  <dcterms:created xsi:type="dcterms:W3CDTF">2023-05-23T21:51:30Z</dcterms:created>
  <dcterms:modified xsi:type="dcterms:W3CDTF">2026-02-13T20:33:58Z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0x010100871638F995AB344DAE89209239E44B66</vt:lpwstr>
  </property>
  <property fmtid="{D5CDD505-2E9C-101B-9397-08002B2CF9AE}" pid="3" name="MediaServiceImageTags">
    <vt:lpwstr/>
  </property>
</Properties>
</file>